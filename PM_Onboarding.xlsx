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5" autoFilterDateGrouping="1"/>
  </bookViews>
  <sheets>
    <sheet xmlns:r="http://schemas.openxmlformats.org/officeDocument/2006/relationships" name="Read Me" sheetId="1" state="visible" r:id="rId1"/>
    <sheet xmlns:r="http://schemas.openxmlformats.org/officeDocument/2006/relationships" name="Dashboard" sheetId="2" state="visible" r:id="rId2"/>
    <sheet xmlns:r="http://schemas.openxmlformats.org/officeDocument/2006/relationships" name="Task Tracker" sheetId="3" state="visible" r:id="rId3"/>
    <sheet xmlns:r="http://schemas.openxmlformats.org/officeDocument/2006/relationships" name="Practice Briefs" sheetId="4" state="visible" r:id="rId4"/>
    <sheet xmlns:r="http://schemas.openxmlformats.org/officeDocument/2006/relationships" name="Prompt Library" sheetId="5" state="visible" r:id="rId5"/>
    <sheet xmlns:r="http://schemas.openxmlformats.org/officeDocument/2006/relationships" name="Journal" sheetId="6" state="visible" r:id="rId6"/>
    <sheet xmlns:r="http://schemas.openxmlformats.org/officeDocument/2006/relationships" name="Phase 2 Readiness" sheetId="7" state="visible" r:id="rId7"/>
  </sheets>
  <definedNames>
    <definedName name="_xlnm._FilterDatabase" localSheetId="4" hidden="1">'Prompt Library'!$A$1:$D$14</definedName>
    <definedName name="_xlnm._FilterDatabase" localSheetId="5" hidden="1">'Journal'!$A$1:$H$81</definedName>
    <definedName name="_xlnm._FilterDatabase" localSheetId="6" hidden="1">'Phase 2 Readiness'!$A$1:$D$30</definedName>
  </definedNames>
  <calcPr calcId="191029" fullCalcOnLoad="1" iterateDelta="0.0001"/>
</workbook>
</file>

<file path=xl/styles.xml><?xml version="1.0" encoding="utf-8"?>
<styleSheet xmlns="http://schemas.openxmlformats.org/spreadsheetml/2006/main">
  <numFmts count="2">
    <numFmt numFmtId="164" formatCode="0.0%"/>
    <numFmt numFmtId="165" formatCode="yyyy\-mm\-dd"/>
  </numFmts>
  <fonts count="19">
    <font>
      <name val="Calibri"/>
      <charset val="1"/>
      <color theme="1"/>
      <sz val="11"/>
    </font>
    <font>
      <name val="Arial"/>
      <charset val="1"/>
      <b val="1"/>
      <color rgb="FFFFFFFF"/>
      <sz val="16"/>
    </font>
    <font>
      <name val="Arial"/>
      <charset val="1"/>
      <b val="1"/>
      <color rgb="FF2F4858"/>
      <sz val="11"/>
    </font>
    <font>
      <name val="Arial"/>
      <charset val="1"/>
      <b val="1"/>
      <color theme="1"/>
      <sz val="10"/>
    </font>
    <font>
      <name val="Arial"/>
      <charset val="1"/>
      <color theme="1"/>
      <sz val="10"/>
    </font>
    <font>
      <name val="Arial"/>
      <charset val="1"/>
      <color rgb="FF555555"/>
      <sz val="9"/>
    </font>
    <font>
      <name val="Arial"/>
      <charset val="1"/>
      <b val="1"/>
      <color rgb="FFFFFFFF"/>
      <sz val="10"/>
    </font>
    <font>
      <name val="Arial"/>
      <charset val="1"/>
      <b val="1"/>
      <color rgb="FFFFFFFF"/>
      <sz val="12"/>
    </font>
    <font>
      <name val="Arial"/>
      <charset val="1"/>
      <b val="1"/>
      <color rgb="FF2F4858"/>
      <sz val="10"/>
    </font>
    <font>
      <name val="Arial"/>
      <charset val="1"/>
      <b val="1"/>
      <color rgb="FF1F6F8B"/>
      <sz val="10"/>
    </font>
    <font>
      <name val="Arial"/>
      <charset val="1"/>
      <color rgb="FF333333"/>
      <sz val="10"/>
    </font>
    <font>
      <name val="Calibri"/>
      <charset val="1"/>
      <i val="1"/>
      <color theme="1"/>
      <sz val="11"/>
    </font>
    <font>
      <name val="Calibri"/>
      <charset val="1"/>
      <color theme="1"/>
      <sz val="11"/>
      <u val="single"/>
    </font>
    <font>
      <name val="Arial"/>
      <charset val="1"/>
      <i val="1"/>
      <color rgb="FF999999"/>
      <sz val="10"/>
    </font>
    <font>
      <name val="Arial"/>
      <charset val="1"/>
      <i val="1"/>
      <color rgb="FF2F4858"/>
      <sz val="10"/>
    </font>
    <font>
      <name val="Calibri"/>
      <charset val="1"/>
      <color rgb="FF000000"/>
      <sz val="11"/>
    </font>
    <font>
      <name val="Calibri"/>
      <charset val="1"/>
      <b val="1"/>
      <color theme="1"/>
      <sz val="11"/>
    </font>
    <font>
      <name val="Calibri"/>
      <charset val="1"/>
      <family val="2"/>
      <color theme="1"/>
      <sz val="11"/>
    </font>
    <font>
      <name val="Arial"/>
      <charset val="1"/>
      <family val="2"/>
      <color theme="1"/>
      <sz val="10"/>
    </font>
  </fonts>
  <fills count="10">
    <fill>
      <patternFill/>
    </fill>
    <fill>
      <patternFill patternType="gray125"/>
    </fill>
    <fill>
      <patternFill patternType="solid">
        <fgColor rgb="FF2F4858"/>
        <bgColor rgb="FF333333"/>
      </patternFill>
    </fill>
    <fill>
      <patternFill patternType="solid">
        <fgColor rgb="FFEDF2F5"/>
        <bgColor rgb="FFF4F8FA"/>
      </patternFill>
    </fill>
    <fill>
      <patternFill patternType="solid">
        <fgColor rgb="FFD9E2E8"/>
        <bgColor rgb="FFD9EFE0"/>
      </patternFill>
    </fill>
    <fill>
      <patternFill patternType="solid">
        <fgColor rgb="FF4A7C8C"/>
        <bgColor rgb="FF1F6F8B"/>
      </patternFill>
    </fill>
    <fill>
      <patternFill patternType="solid">
        <fgColor rgb="FFF4F8FA"/>
        <bgColor rgb="FFEDF2F5"/>
      </patternFill>
    </fill>
    <fill>
      <patternFill patternType="solid">
        <fgColor rgb="FFFFFDF5"/>
        <bgColor rgb="FFFFFFFF"/>
      </patternFill>
    </fill>
    <fill>
      <patternFill patternType="solid">
        <fgColor rgb="FFF2C94C"/>
        <bgColor rgb="FFFF9900"/>
      </patternFill>
    </fill>
    <fill>
      <patternFill patternType="solid">
        <fgColor theme="0"/>
        <bgColor rgb="FFFFFDF5"/>
      </patternFill>
    </fill>
  </fills>
  <borders count="18">
    <border>
      <left/>
      <right/>
      <top/>
      <bottom/>
      <diagonal/>
    </border>
    <border>
      <left/>
      <right/>
      <top/>
      <bottom style="medium">
        <color rgb="FF2F4858"/>
      </bottom>
      <diagonal/>
    </border>
    <border>
      <left style="thin">
        <color rgb="FFBFCBD1"/>
      </left>
      <right style="thin">
        <color rgb="FFBFCBD1"/>
      </right>
      <top style="thin">
        <color rgb="FFBFCBD1"/>
      </top>
      <bottom style="thin">
        <color rgb="FFBFCBD1"/>
      </bottom>
      <diagonal/>
    </border>
    <border>
      <left style="thin">
        <color rgb="FFBFCBD1"/>
      </left>
      <right style="thin">
        <color rgb="FFBFCBD1"/>
      </right>
      <top style="medium">
        <color rgb="FF2F4858"/>
      </top>
      <bottom style="medium">
        <color rgb="FF2F4858"/>
      </bottom>
      <diagonal/>
    </border>
    <border>
      <left style="thin">
        <color rgb="FFBFCBD1"/>
      </left>
      <right style="thin">
        <color rgb="FFBFCBD1"/>
      </right>
      <top style="medium">
        <color rgb="FF2F4858"/>
      </top>
      <bottom style="thin">
        <color rgb="FFBFCBD1"/>
      </bottom>
      <diagonal/>
    </border>
    <border>
      <left style="thin">
        <color rgb="FFBFCBD1"/>
      </left>
      <right style="thin">
        <color rgb="FFBFCBD1"/>
      </right>
      <top style="medium">
        <color rgb="FF8AA0AB"/>
      </top>
      <bottom style="thin">
        <color rgb="FFBFCBD1"/>
      </bottom>
      <diagonal/>
    </border>
    <border>
      <left style="thin">
        <color rgb="FFBFCBD1"/>
      </left>
      <right style="thin">
        <color rgb="FFBFCBD1"/>
      </right>
      <top style="thin">
        <color rgb="FFBFCBD1"/>
      </top>
      <bottom style="medium">
        <color rgb="FF8AA0AB"/>
      </bottom>
      <diagonal/>
    </border>
    <border>
      <left/>
      <right/>
      <top style="thin">
        <color rgb="FFBFCBD1"/>
      </top>
      <bottom style="thin">
        <color rgb="FFBFCBD1"/>
      </bottom>
      <diagonal/>
    </border>
    <border>
      <left/>
      <right style="thin">
        <color rgb="FFBFCBD1"/>
      </right>
      <top style="thin">
        <color rgb="FFBFCBD1"/>
      </top>
      <bottom style="thin">
        <color rgb="FFBFCBD1"/>
      </bottom>
      <diagonal/>
    </border>
    <border>
      <left/>
      <right/>
      <top style="medium">
        <color rgb="FF2F4858"/>
      </top>
      <bottom style="thin">
        <color rgb="FFBFCBD1"/>
      </bottom>
      <diagonal/>
    </border>
    <border>
      <left/>
      <right style="thin">
        <color rgb="FFBFCBD1"/>
      </right>
      <top style="medium">
        <color rgb="FF2F4858"/>
      </top>
      <bottom style="thin">
        <color rgb="FFBFCBD1"/>
      </bottom>
      <diagonal/>
    </border>
    <border>
      <left style="thin">
        <color rgb="FFBFCBD1"/>
      </left>
      <right style="thin">
        <color rgb="FFBFCBD1"/>
      </right>
      <top/>
      <bottom/>
      <diagonal/>
    </border>
    <border>
      <left style="thin">
        <color rgb="FFBFCBD1"/>
      </left>
      <right style="thin">
        <color rgb="FFBFCBD1"/>
      </right>
      <top/>
      <bottom style="thin">
        <color rgb="FFBFCBD1"/>
      </bottom>
      <diagonal/>
    </border>
    <border>
      <left/>
      <right/>
      <top style="thin">
        <color rgb="FFBFCBD1"/>
      </top>
      <bottom/>
      <diagonal/>
    </border>
    <border>
      <left/>
      <right style="thin">
        <color rgb="FFBFCBD1"/>
      </right>
      <top style="thin">
        <color rgb="FFBFCBD1"/>
      </top>
      <bottom/>
      <diagonal/>
    </border>
    <border>
      <left style="thin">
        <color rgb="FFBFCBD1"/>
      </left>
      <right/>
      <top/>
      <bottom/>
      <diagonal/>
    </border>
    <border>
      <left/>
      <right/>
      <top style="medium">
        <color rgb="FF2F4858"/>
      </top>
      <bottom/>
      <diagonal/>
    </border>
    <border>
      <left/>
      <right style="thin">
        <color rgb="FFBFCBD1"/>
      </right>
      <top style="medium">
        <color rgb="FF2F4858"/>
      </top>
      <bottom/>
      <diagonal/>
    </border>
  </borders>
  <cellStyleXfs count="1">
    <xf numFmtId="0" fontId="0" fillId="0" borderId="0"/>
  </cellStyleXfs>
  <cellXfs count="75">
    <xf numFmtId="0" fontId="0" fillId="0" borderId="0" pivotButton="0" quotePrefix="0" xfId="0"/>
    <xf numFmtId="0" fontId="3" fillId="3" borderId="2" applyAlignment="1" pivotButton="0" quotePrefix="0" xfId="0">
      <alignment vertical="top" wrapText="1"/>
    </xf>
    <xf numFmtId="0" fontId="4" fillId="0" borderId="2" applyAlignment="1" pivotButton="0" quotePrefix="0" xfId="0">
      <alignment vertical="top" wrapText="1"/>
    </xf>
    <xf numFmtId="0" fontId="2" fillId="0" borderId="0" pivotButton="0" quotePrefix="0" xfId="0"/>
    <xf numFmtId="0" fontId="5" fillId="0" borderId="0" applyAlignment="1" pivotButton="0" quotePrefix="0" xfId="0">
      <alignment vertical="top" wrapText="1"/>
    </xf>
    <xf numFmtId="0" fontId="6" fillId="2" borderId="2" applyAlignment="1" pivotButton="0" quotePrefix="0" xfId="0">
      <alignment horizontal="center" vertical="center"/>
    </xf>
    <xf numFmtId="0" fontId="4" fillId="3" borderId="2" applyAlignment="1" pivotButton="0" quotePrefix="0" xfId="0">
      <alignment vertical="top" wrapText="1"/>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0" fontId="4" fillId="3" borderId="2" pivotButton="0" quotePrefix="0" xfId="0"/>
    <xf numFmtId="0" fontId="3" fillId="0" borderId="2" pivotButton="0" quotePrefix="0" xfId="0"/>
    <xf numFmtId="0" fontId="0" fillId="0" borderId="2" pivotButton="0" quotePrefix="0" xfId="0"/>
    <xf numFmtId="0" fontId="3" fillId="4" borderId="3" pivotButton="0" quotePrefix="0" xfId="0"/>
    <xf numFmtId="0" fontId="3" fillId="4" borderId="3" applyAlignment="1" pivotButton="0" quotePrefix="0" xfId="0">
      <alignment horizontal="center" vertical="center"/>
    </xf>
    <xf numFmtId="164" fontId="3" fillId="4" borderId="3" applyAlignment="1" pivotButton="0" quotePrefix="0" xfId="0">
      <alignment horizontal="center" vertical="center"/>
    </xf>
    <xf numFmtId="0" fontId="6" fillId="2" borderId="2" applyAlignment="1" pivotButton="0" quotePrefix="0" xfId="0">
      <alignment horizontal="center" vertical="center" wrapText="1"/>
    </xf>
    <xf numFmtId="0" fontId="6" fillId="5" borderId="2" applyAlignment="1" pivotButton="0" quotePrefix="0" xfId="0">
      <alignment horizontal="center" vertical="center" wrapText="1"/>
    </xf>
    <xf numFmtId="0" fontId="5" fillId="7" borderId="5" applyAlignment="1" pivotButton="0" quotePrefix="0" xfId="0">
      <alignment horizontal="center" vertical="top" wrapText="1"/>
    </xf>
    <xf numFmtId="0" fontId="10" fillId="7" borderId="5" applyAlignment="1" pivotButton="0" quotePrefix="0" xfId="0">
      <alignment vertical="top" wrapText="1"/>
    </xf>
    <xf numFmtId="0" fontId="4" fillId="7" borderId="5" applyAlignment="1" pivotButton="0" quotePrefix="0" xfId="0">
      <alignment horizontal="center" vertical="top" wrapText="1"/>
    </xf>
    <xf numFmtId="165" fontId="0" fillId="7" borderId="5" applyAlignment="1" pivotButton="0" quotePrefix="0" xfId="0">
      <alignment horizontal="center" vertical="top" wrapText="1"/>
    </xf>
    <xf numFmtId="0" fontId="0" fillId="7" borderId="5" applyAlignment="1" pivotButton="0" quotePrefix="0" xfId="0">
      <alignment horizontal="center" vertical="top" wrapText="1"/>
    </xf>
    <xf numFmtId="0" fontId="5" fillId="7" borderId="2" applyAlignment="1" pivotButton="0" quotePrefix="0" xfId="0">
      <alignment horizontal="center" vertical="top" wrapText="1"/>
    </xf>
    <xf numFmtId="0" fontId="10" fillId="7" borderId="2" applyAlignment="1" pivotButton="0" quotePrefix="0" xfId="0">
      <alignment vertical="top" wrapText="1"/>
    </xf>
    <xf numFmtId="0" fontId="4" fillId="7" borderId="2" applyAlignment="1" pivotButton="0" quotePrefix="0" xfId="0">
      <alignment horizontal="center" vertical="top" wrapText="1"/>
    </xf>
    <xf numFmtId="165" fontId="0" fillId="7" borderId="2" applyAlignment="1" pivotButton="0" quotePrefix="0" xfId="0">
      <alignment horizontal="center" vertical="top" wrapText="1"/>
    </xf>
    <xf numFmtId="0" fontId="0" fillId="7" borderId="2" applyAlignment="1" pivotButton="0" quotePrefix="0" xfId="0">
      <alignment horizontal="center" vertical="top" wrapText="1"/>
    </xf>
    <xf numFmtId="0" fontId="5" fillId="7" borderId="6" applyAlignment="1" pivotButton="0" quotePrefix="0" xfId="0">
      <alignment horizontal="center" vertical="top" wrapText="1"/>
    </xf>
    <xf numFmtId="0" fontId="10" fillId="7" borderId="6" applyAlignment="1" pivotButton="0" quotePrefix="0" xfId="0">
      <alignment vertical="top" wrapText="1"/>
    </xf>
    <xf numFmtId="0" fontId="4" fillId="7" borderId="6" applyAlignment="1" pivotButton="0" quotePrefix="0" xfId="0">
      <alignment horizontal="center" vertical="top" wrapText="1"/>
    </xf>
    <xf numFmtId="0" fontId="0" fillId="7" borderId="6" applyAlignment="1" pivotButton="0" quotePrefix="0" xfId="0">
      <alignment horizontal="center" vertical="top" wrapText="1"/>
    </xf>
    <xf numFmtId="165" fontId="0" fillId="7" borderId="6" applyAlignment="1" pivotButton="0" quotePrefix="0" xfId="0">
      <alignment horizontal="center" vertical="top" wrapText="1"/>
    </xf>
    <xf numFmtId="0" fontId="3" fillId="0" borderId="2" applyAlignment="1" pivotButton="0" quotePrefix="0" xfId="0">
      <alignment vertical="top" wrapText="1"/>
    </xf>
    <xf numFmtId="0" fontId="0" fillId="0" borderId="2" applyAlignment="1" pivotButton="0" quotePrefix="0" xfId="0">
      <alignment vertical="top" wrapText="1"/>
    </xf>
    <xf numFmtId="0" fontId="3" fillId="6" borderId="2" applyAlignment="1" pivotButton="0" quotePrefix="0" xfId="0">
      <alignment vertical="top" wrapText="1"/>
    </xf>
    <xf numFmtId="0" fontId="0" fillId="6" borderId="2" applyAlignment="1" pivotButton="0" quotePrefix="0" xfId="0">
      <alignment vertical="top" wrapText="1"/>
    </xf>
    <xf numFmtId="0" fontId="13" fillId="0" borderId="2" pivotButton="0" quotePrefix="0" xfId="0"/>
    <xf numFmtId="165" fontId="0" fillId="0" borderId="2" applyAlignment="1" pivotButton="0" quotePrefix="0" xfId="0">
      <alignment horizontal="center" vertical="top" wrapText="1"/>
    </xf>
    <xf numFmtId="0" fontId="0" fillId="0" borderId="2" applyAlignment="1" pivotButton="0" quotePrefix="0" xfId="0">
      <alignment horizontal="center" vertical="top" wrapText="1"/>
    </xf>
    <xf numFmtId="0" fontId="15" fillId="0" borderId="2" applyAlignment="1" pivotButton="0" quotePrefix="0" xfId="0">
      <alignment vertical="top" wrapText="1"/>
    </xf>
    <xf numFmtId="0" fontId="5" fillId="0" borderId="2" applyAlignment="1" pivotButton="0" quotePrefix="0" xfId="0">
      <alignment vertical="top" wrapText="1"/>
    </xf>
    <xf numFmtId="165" fontId="0" fillId="6" borderId="2" applyAlignment="1" pivotButton="0" quotePrefix="0" xfId="0">
      <alignment horizontal="center" vertical="top" wrapText="1"/>
    </xf>
    <xf numFmtId="0" fontId="0" fillId="6" borderId="2" applyAlignment="1" pivotButton="0" quotePrefix="0" xfId="0">
      <alignment horizontal="center" vertical="top" wrapText="1"/>
    </xf>
    <xf numFmtId="0" fontId="16" fillId="0" borderId="2" applyAlignment="1" pivotButton="0" quotePrefix="0" xfId="0">
      <alignment vertical="top" wrapText="1"/>
    </xf>
    <xf numFmtId="165" fontId="17" fillId="0" borderId="2" applyAlignment="1" pivotButton="0" quotePrefix="0" xfId="0">
      <alignment horizontal="center" vertical="top" wrapText="1"/>
    </xf>
    <xf numFmtId="0" fontId="18" fillId="9" borderId="2" applyAlignment="1" pivotButton="0" quotePrefix="0" xfId="0">
      <alignment horizontal="center" vertical="center" wrapText="1"/>
    </xf>
    <xf numFmtId="0" fontId="17" fillId="9" borderId="0" pivotButton="0" quotePrefix="0" xfId="0"/>
    <xf numFmtId="0" fontId="9" fillId="0" borderId="5" applyAlignment="1" pivotButton="0" quotePrefix="0" xfId="0">
      <alignment horizontal="center" vertical="top" wrapText="1"/>
    </xf>
    <xf numFmtId="0" fontId="0" fillId="0" borderId="11" pivotButton="0" quotePrefix="0" xfId="0"/>
    <xf numFmtId="0" fontId="0" fillId="0" borderId="12" pivotButton="0" quotePrefix="0" xfId="0"/>
    <xf numFmtId="0" fontId="3" fillId="6" borderId="5" applyAlignment="1" pivotButton="0" quotePrefix="0" xfId="0">
      <alignment vertical="top" wrapText="1"/>
    </xf>
    <xf numFmtId="0" fontId="0" fillId="6" borderId="5" applyAlignment="1" pivotButton="0" quotePrefix="0" xfId="0">
      <alignment horizontal="center" vertical="top" wrapText="1"/>
    </xf>
    <xf numFmtId="0" fontId="0" fillId="6" borderId="5" applyAlignment="1" pivotButton="0" quotePrefix="0" xfId="0">
      <alignment vertical="top" wrapText="1"/>
    </xf>
    <xf numFmtId="0" fontId="0" fillId="0" borderId="5" applyAlignment="1" pivotButton="0" quotePrefix="0" xfId="0">
      <alignment vertical="top" wrapText="1"/>
    </xf>
    <xf numFmtId="0" fontId="0" fillId="0" borderId="5" applyAlignment="1" pivotButton="0" quotePrefix="0" xfId="0">
      <alignment horizontal="center" vertical="top" wrapText="1"/>
    </xf>
    <xf numFmtId="0" fontId="9" fillId="6" borderId="5" applyAlignment="1" pivotButton="0" quotePrefix="0" xfId="0">
      <alignment horizontal="center" vertical="top" wrapText="1"/>
    </xf>
    <xf numFmtId="0" fontId="4" fillId="6" borderId="2" applyAlignment="1" pivotButton="0" quotePrefix="0" xfId="0">
      <alignment vertical="top" wrapText="1"/>
    </xf>
    <xf numFmtId="0" fontId="0" fillId="0" borderId="7" pivotButton="0" quotePrefix="0" xfId="0"/>
    <xf numFmtId="0" fontId="0" fillId="0" borderId="8" pivotButton="0" quotePrefix="0" xfId="0"/>
    <xf numFmtId="0" fontId="8" fillId="3" borderId="2" applyAlignment="1" pivotButton="0" quotePrefix="0" xfId="0">
      <alignment vertical="center" wrapText="1"/>
    </xf>
    <xf numFmtId="0" fontId="3" fillId="6" borderId="5" applyAlignment="1" pivotButton="0" quotePrefix="0" xfId="0">
      <alignment horizontal="center" vertical="top" wrapText="1"/>
    </xf>
    <xf numFmtId="0" fontId="7" fillId="2" borderId="4" applyAlignment="1" pivotButton="0" quotePrefix="0" xfId="0">
      <alignment vertical="center"/>
    </xf>
    <xf numFmtId="0" fontId="0" fillId="0" borderId="9" pivotButton="0" quotePrefix="0" xfId="0"/>
    <xf numFmtId="0" fontId="0" fillId="0" borderId="10" pivotButton="0" quotePrefix="0" xfId="0"/>
    <xf numFmtId="0" fontId="3" fillId="0" borderId="5" applyAlignment="1" pivotButton="0" quotePrefix="0" xfId="0">
      <alignment vertical="top" wrapText="1"/>
    </xf>
    <xf numFmtId="0" fontId="3" fillId="0" borderId="5" applyAlignment="1" pivotButton="0" quotePrefix="0" xfId="0">
      <alignment horizontal="center" vertical="top" wrapText="1"/>
    </xf>
    <xf numFmtId="0" fontId="12" fillId="0" borderId="5" applyAlignment="1" pivotButton="0" quotePrefix="0" xfId="0">
      <alignment vertical="top" wrapText="1"/>
    </xf>
    <xf numFmtId="0" fontId="11" fillId="0" borderId="5" applyAlignment="1" pivotButton="0" quotePrefix="0" xfId="0">
      <alignment horizontal="center" vertical="top" wrapText="1"/>
    </xf>
    <xf numFmtId="0" fontId="2" fillId="0" borderId="1" pivotButton="0" quotePrefix="0" xfId="0"/>
    <xf numFmtId="0" fontId="0" fillId="0" borderId="1" pivotButton="0" quotePrefix="0" xfId="0"/>
    <xf numFmtId="0" fontId="1" fillId="2" borderId="0" applyAlignment="1" pivotButton="0" quotePrefix="0" xfId="0">
      <alignment vertical="center"/>
    </xf>
    <xf numFmtId="0" fontId="0" fillId="0" borderId="0" pivotButton="0" quotePrefix="0" xfId="0"/>
    <xf numFmtId="0" fontId="5" fillId="0" borderId="0" pivotButton="0" quotePrefix="0" xfId="0"/>
    <xf numFmtId="0" fontId="4" fillId="0" borderId="2" pivotButton="0" quotePrefix="0" xfId="0"/>
    <xf numFmtId="0" fontId="14" fillId="8" borderId="0" applyAlignment="1" pivotButton="0" quotePrefix="0" xfId="0">
      <alignment horizontal="left" vertical="center" wrapText="1"/>
    </xf>
  </cellXfs>
  <cellStyles count="1">
    <cellStyle name="Normal" xfId="0" builtinId="0"/>
  </cellStyles>
  <dxfs count="5">
    <dxf>
      <fill>
        <patternFill>
          <bgColor rgb="FFFFF2CC"/>
        </patternFill>
      </fill>
    </dxf>
    <dxf>
      <fill>
        <patternFill>
          <bgColor rgb="FFF8D7D7"/>
        </patternFill>
      </fill>
    </dxf>
    <dxf>
      <fill>
        <patternFill>
          <bgColor rgb="FFD9EFE0"/>
        </patternFill>
      </fill>
    </dxf>
    <dxf>
      <fill>
        <patternFill>
          <bgColor rgb="FFE4F3E8"/>
        </patternFill>
      </fill>
    </dxf>
    <dxf>
      <fill>
        <patternFill>
          <bgColor rgb="FFFBE2E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6F8B"/>
      <rgbColor rgb="FFBFCBD1"/>
      <rgbColor rgb="FF8AA0AB"/>
      <rgbColor rgb="FF9999FF"/>
      <rgbColor rgb="FF993366"/>
      <rgbColor rgb="FFFFF2CC"/>
      <rgbColor rgb="FFE4F3E8"/>
      <rgbColor rgb="FF660066"/>
      <rgbColor rgb="FFFF8080"/>
      <rgbColor rgb="FF0066CC"/>
      <rgbColor rgb="FFD9E2E8"/>
      <rgbColor rgb="FF000080"/>
      <rgbColor rgb="FFFF00FF"/>
      <rgbColor rgb="FFFFFF00"/>
      <rgbColor rgb="FF00FFFF"/>
      <rgbColor rgb="FF800080"/>
      <rgbColor rgb="FF800000"/>
      <rgbColor rgb="FF008080"/>
      <rgbColor rgb="FF0000FF"/>
      <rgbColor rgb="FF00CCFF"/>
      <rgbColor rgb="FFEDF2F5"/>
      <rgbColor rgb="FFD9EFE0"/>
      <rgbColor rgb="FFFFFDF5"/>
      <rgbColor rgb="FFF4F8FA"/>
      <rgbColor rgb="FFFBE2E2"/>
      <rgbColor rgb="FFCC99FF"/>
      <rgbColor rgb="FFF8D7D7"/>
      <rgbColor rgb="FF3366FF"/>
      <rgbColor rgb="FF33CCCC"/>
      <rgbColor rgb="FF99CC00"/>
      <rgbColor rgb="FFF2C94C"/>
      <rgbColor rgb="FFFF9900"/>
      <rgbColor rgb="FFFF6600"/>
      <rgbColor rgb="FF4A7C8C"/>
      <rgbColor rgb="FF999999"/>
      <rgbColor rgb="FF003366"/>
      <rgbColor rgb="FF339966"/>
      <rgbColor rgb="FF003300"/>
      <rgbColor rgb="FF555555"/>
      <rgbColor rgb="FF993300"/>
      <rgbColor rgb="FF993366"/>
      <rgbColor rgb="FF2F4858"/>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Unknown Author</author>
  </authors>
  <commentList>
    <comment ref="J120" authorId="0" shapeId="0">
      <text>
        <t>Saved in Module_2.md</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www.deceptive.design/types" TargetMode="External" Id="rId1"/><Relationship Type="http://schemas.openxmlformats.org/officeDocument/2006/relationships/hyperlink" Target="https://docs.google.com/document/d/1Dd713Nui2pXCk6HDFUPmVUjzb743Jvp7Vik2MCzL56Y/edit?usp=sharing" TargetMode="Externa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C46"/>
  <sheetViews>
    <sheetView showGridLines="0" zoomScaleNormal="100" workbookViewId="0">
      <selection activeCell="A1" sqref="A1"/>
    </sheetView>
  </sheetViews>
  <sheetFormatPr baseColWidth="8" defaultColWidth="14.42578125" defaultRowHeight="15"/>
  <cols>
    <col width="2" customWidth="1" style="71" min="1" max="1"/>
    <col width="30" customWidth="1" style="71" min="2" max="2"/>
    <col width="112" customWidth="1" style="71" min="3" max="3"/>
    <col width="2" customWidth="1" style="71" min="4" max="4"/>
    <col width="8.7109375" customWidth="1" style="71" min="5" max="26"/>
  </cols>
  <sheetData>
    <row r="2" ht="39.75" customHeight="1" s="71">
      <c r="B2" s="70" t="inlineStr">
        <is>
          <t xml:space="preserve">  Product Manager Onboarding · Phase 1: Foundations</t>
        </is>
      </c>
    </row>
    <row r="5" ht="21.75" customHeight="1" s="71">
      <c r="B5" s="68" t="inlineStr">
        <is>
          <t>At a glance</t>
        </is>
      </c>
      <c r="C5" s="69" t="n"/>
    </row>
    <row r="6" ht="19.5" customHeight="1" s="71">
      <c r="B6" s="1" t="inlineStr">
        <is>
          <t>Totals</t>
        </is>
      </c>
      <c r="C6" s="2" t="inlineStr">
        <is>
          <t>225 hrs · 9 modules · 76 tasks · basics to advanced</t>
        </is>
      </c>
    </row>
    <row r="7" ht="19.5" customHeight="1" s="71">
      <c r="B7" s="1" t="inlineStr">
        <is>
          <t>Track</t>
        </is>
      </c>
      <c r="C7" s="2" t="inlineStr">
        <is>
          <t>Discovery and product thinking + Delivery + Working fluently with Claude (Chat, Cowork, Design)</t>
        </is>
      </c>
    </row>
    <row r="8" ht="19.5" customHeight="1" s="71">
      <c r="B8" s="1" t="inlineStr">
        <is>
          <t>Audience</t>
        </is>
      </c>
      <c r="C8" s="2" t="inlineStr">
        <is>
          <t>New product manager, joining directly after graduation</t>
        </is>
      </c>
    </row>
    <row r="9" ht="19.5" customHeight="1" s="71">
      <c r="B9" s="1" t="inlineStr">
        <is>
          <t>Tooling</t>
        </is>
      </c>
      <c r="C9" s="2" t="inlineStr">
        <is>
          <t>Claude Chat, Claude Cowork, Claude Design. No Figma.</t>
        </is>
      </c>
    </row>
    <row r="10" ht="19.5" customHeight="1" s="71">
      <c r="B10" s="1" t="inlineStr">
        <is>
          <t>Practice material</t>
        </is>
      </c>
      <c r="C10" s="2" t="inlineStr">
        <is>
          <t>Three fictional client briefs, included in Appendix A</t>
        </is>
      </c>
    </row>
    <row r="12" ht="21.75" customHeight="1" s="71">
      <c r="B12" s="68" t="inlineStr">
        <is>
          <t>The sheets in this workbook</t>
        </is>
      </c>
      <c r="C12" s="69" t="n"/>
    </row>
    <row r="13" ht="19.5" customHeight="1" s="71">
      <c r="B13" s="1" t="inlineStr">
        <is>
          <t>Read Me</t>
        </is>
      </c>
      <c r="C13" s="2" t="inlineStr">
        <is>
          <t>This sheet. The framing from the plan, carried over word for word.</t>
        </is>
      </c>
    </row>
    <row r="14" ht="19.5" customHeight="1" s="71">
      <c r="B14" s="1" t="inlineStr">
        <is>
          <t>Dashboard</t>
        </is>
      </c>
      <c r="C14" s="2" t="inlineStr">
        <is>
          <t>Live progress. Every figure is a formula — nothing on it is typed by hand.</t>
        </is>
      </c>
    </row>
    <row r="15" ht="48" customHeight="1" s="71">
      <c r="B15" s="1" t="inlineStr">
        <is>
          <t>Task Tracker</t>
        </is>
      </c>
      <c r="C15" s="2" t="inlineStr">
        <is>
          <t>All 76 tasks, grouped under a banner row for each module carrying that module's goal, introduction and checkpoint list. Each task is one merged block; its exercise steps are the rows inside it. You tick off steps — task status and task hours fill in on their own.</t>
        </is>
      </c>
    </row>
    <row r="16" ht="19.5" customHeight="1" s="71">
      <c r="B16" s="1" t="inlineStr">
        <is>
          <t>Practice Briefs</t>
        </is>
      </c>
      <c r="C16" s="2" t="inlineStr">
        <is>
          <t>The three fictional client briefs in full, with what each deliberately leaves out.</t>
        </is>
      </c>
    </row>
    <row r="17" ht="19.5" customHeight="1" s="71">
      <c r="B17" s="1" t="inlineStr">
        <is>
          <t>Prompt Library</t>
        </is>
      </c>
      <c r="C17" s="2" t="inlineStr">
        <is>
          <t>The twelve starter prompts. Add your own beneath them.</t>
        </is>
      </c>
    </row>
    <row r="18" ht="19.5" customHeight="1" s="71">
      <c r="B18" s="1" t="inlineStr">
        <is>
          <t>Journal</t>
        </is>
      </c>
      <c r="C18" s="2" t="inlineStr">
        <is>
          <t>Your daily log. Fifteen minutes at the end of each day.</t>
        </is>
      </c>
    </row>
    <row r="19" ht="19.5" customHeight="1" s="71">
      <c r="B19" s="1" t="inlineStr">
        <is>
          <t>Phase 2 Readiness</t>
        </is>
      </c>
      <c r="C19" s="2" t="inlineStr">
        <is>
          <t>The 29-point checklist. Fill this in once, at Task 8.10.</t>
        </is>
      </c>
    </row>
    <row r="21" ht="21.75" customHeight="1" s="71">
      <c r="B21" s="68" t="inlineStr">
        <is>
          <t>What you fill in</t>
        </is>
      </c>
      <c r="C21" s="69" t="n"/>
    </row>
    <row r="22" ht="33.75" customHeight="1" s="71">
      <c r="B22" s="1" t="inlineStr">
        <is>
          <t>Task Tracker</t>
        </is>
      </c>
      <c r="C22" s="2" t="inlineStr">
        <is>
          <t>Step status, Start, End and Hrs — one set per exercise step. Task status and task hours are formulas and fill in by themselves.</t>
        </is>
      </c>
    </row>
    <row r="23" ht="19.5" customHeight="1" s="71">
      <c r="B23" s="1" t="inlineStr">
        <is>
          <t>Prompt Library</t>
        </is>
      </c>
      <c r="C23" s="2" t="inlineStr">
        <is>
          <t>Your own notes, and your own prompts beneath the starters.</t>
        </is>
      </c>
    </row>
    <row r="24" ht="19.5" customHeight="1" s="71">
      <c r="B24" s="1" t="inlineStr">
        <is>
          <t>Journal</t>
        </is>
      </c>
      <c r="C24" s="2" t="inlineStr">
        <is>
          <t>Every day. Phase 2 Readiness: once, at the end.</t>
        </is>
      </c>
    </row>
    <row r="25" ht="19.5" customHeight="1" s="71">
      <c r="B25" s="1" t="inlineStr">
        <is>
          <t>Everything else</t>
        </is>
      </c>
      <c r="C25" s="2" t="inlineStr">
        <is>
          <t>Content from the plan, or a formula. You should not need to edit it.</t>
        </is>
      </c>
    </row>
    <row r="26" ht="15.75" customHeight="1" s="71"/>
    <row r="27" ht="21.75" customHeight="1" s="71">
      <c r="B27" s="68" t="inlineStr">
        <is>
          <t>A note on hours</t>
        </is>
      </c>
      <c r="C27" s="69" t="n"/>
    </row>
    <row r="28" ht="33.75" customHeight="1" s="71">
      <c r="B28" s="1" t="n"/>
      <c r="C28" s="2" t="inlineStr">
        <is>
          <t>The hour figures are estimates to help you pace yourself, not targets to hit. Logging more than the estimate on a task is information, not a problem.</t>
        </is>
      </c>
    </row>
    <row r="29" ht="15.75" customHeight="1" s="71"/>
    <row r="30" ht="21.75" customHeight="1" s="71">
      <c r="B30" s="68" t="inlineStr">
        <is>
          <t>A note to you, before you begin</t>
        </is>
      </c>
      <c r="C30" s="69" t="n"/>
    </row>
    <row r="31" ht="61.5" customHeight="1" s="71">
      <c r="B31" s="1" t="n"/>
      <c r="C31" s="2" t="inlineStr">
        <is>
          <t>Welcome. You are about to spend a few focused weeks learning three things at once: how to work out what's worth building, how to get it built, and how to work alongside Claude. That last one is not a bonus skill here — it is how we work every day. By the end of this phase, reaching for Claude should feel as natural to you as opening a browser tab.</t>
        </is>
      </c>
    </row>
    <row r="32" ht="48" customHeight="1" s="71">
      <c r="B32" s="1" t="n"/>
      <c r="C32" s="2" t="inlineStr">
        <is>
          <t>This plan is deliberately unhurried. Take the time each topic needs — depth is what we're after, and there's no advantage in rushing past something before it has clicked. What matters is that at the end you can look at a vague client request, a delivery team and a deadline, and know exactly what to do next.</t>
        </is>
      </c>
    </row>
    <row r="33" ht="19.5" customHeight="1" s="71">
      <c r="B33" s="1" t="n"/>
      <c r="C33" s="2" t="inlineStr">
        <is>
          <t>A few things to know about how this is built:</t>
        </is>
      </c>
    </row>
    <row r="34" ht="33.75" customHeight="1" s="71">
      <c r="B34" s="1" t="inlineStr">
        <is>
          <t>Every task stands alone</t>
        </is>
      </c>
      <c r="C34" s="2" t="inlineStr">
        <is>
          <t>Each one tells you what to do, what to read or watch, what to produce, and roughly how long it should take. You can stop mid-module and pick up cleanly the next day.</t>
        </is>
      </c>
    </row>
    <row r="35" ht="33.75" customHeight="1" s="71">
      <c r="B35" s="1" t="inlineStr">
        <is>
          <t>Most tasks end with something you made</t>
        </is>
      </c>
      <c r="C35" s="2" t="inlineStr">
        <is>
          <t>A document, a critique, a spec, a screen, a roadmap. Reading alone doesn't build skill. By the end of Phase 1 you will have a folder of roughly sixty artefacts — that folder is your portfolio and your proof.</t>
        </is>
      </c>
    </row>
    <row r="36" ht="48" customHeight="1" s="71">
      <c r="B36" s="1" t="inlineStr">
        <is>
          <t>Claude is your study partner, not your answer machine</t>
        </is>
      </c>
      <c r="C36" s="2" t="inlineStr">
        <is>
          <t>In many tasks you will be asked to explain a concept *to* Claude and have it find the holes in your understanding. That feels backwards at first. Stick with it — it is the fastest way to find out what you only *think* you understand.</t>
        </is>
      </c>
    </row>
    <row r="37" ht="33.75" customHeight="1" s="71">
      <c r="B37" s="1" t="inlineStr">
        <is>
          <t>You'll build some things twice, on purpose</t>
        </is>
      </c>
      <c r="C37" s="2" t="inlineStr">
        <is>
          <t>A few tasks ask you to make a rough first version and then improve it. Seeing the difference between the two is where the learning lives.</t>
        </is>
      </c>
    </row>
    <row r="38" ht="33.75" customHeight="1" s="71">
      <c r="B38" s="1" t="inlineStr">
        <is>
          <t>You are not training to be a designer</t>
        </is>
      </c>
      <c r="C38" s="2" t="inlineStr">
        <is>
          <t>You will prototype, critique screens and read front-end code — but always to sharpen a requirement or a conversation, never to own the craft. Module 3 is deliberately short for exactly this reason.</t>
        </is>
      </c>
    </row>
    <row r="39" ht="33.75" customHeight="1" s="71">
      <c r="B39" s="1" t="inlineStr">
        <is>
          <t>Ask early</t>
        </is>
      </c>
      <c r="C39" s="2" t="inlineStr">
        <is>
          <t>If you're stuck for more than thirty minutes on something that isn't meant to be hard, reach out to your mentor. Asking is always welcome here, and it's usually the fastest route forward.</t>
        </is>
      </c>
    </row>
    <row r="40" ht="15.75" customHeight="1" s="71"/>
    <row r="41" ht="21.75" customHeight="1" s="71">
      <c r="B41" s="68" t="inlineStr">
        <is>
          <t>How the phase is paced</t>
        </is>
      </c>
      <c r="C41" s="69" t="n"/>
    </row>
    <row r="42" ht="33.75" customHeight="1" s="71">
      <c r="B42" s="1" t="inlineStr">
        <is>
          <t>Rhythm</t>
        </is>
      </c>
      <c r="C42" s="2" t="inlineStr">
        <is>
          <t>Roughly six weeks at full time. Modules 0–2 are your first fortnight, Modules 3–4 build the bridge to design and engineering, Module 5 is the operational core, and Modules 6–8 pull everything together.</t>
        </is>
      </c>
    </row>
    <row r="43" ht="48" customHeight="1" s="71">
      <c r="B43" s="1" t="inlineStr">
        <is>
          <t>One standing habit</t>
        </is>
      </c>
      <c r="C43" s="2" t="inlineStr">
        <is>
          <t>Fifteen minutes at the end of every day in your learning journal (set up in Task 0.3). Three lines: what I made, what confused me, what I want to ask. It's the one habit that runs right through the plan, and it's worth protecting.</t>
        </is>
      </c>
    </row>
    <row r="44" ht="33.75" customHeight="1" s="71">
      <c r="B44" s="1" t="inlineStr">
        <is>
          <t>A note on links</t>
        </is>
      </c>
      <c r="C44" s="2" t="inlineStr">
        <is>
          <t>Every URL here was working when this plan was written. If one has moved, search the title rather than giving up — and tell your mentor so it can be fixed for the next person.</t>
        </is>
      </c>
    </row>
    <row r="45" ht="15.75" customHeight="1" s="71"/>
    <row r="46" ht="30" customHeight="1" s="71">
      <c r="B46" s="3" t="inlineStr">
        <is>
          <t>Footer</t>
        </is>
      </c>
      <c r="C46" s="4" t="inlineStr">
        <is>
          <t>Phase 1 · Product Manager Onboarding · 225 hrs · 9 modules · 76 tasks · Practice briefs: PawPal, Harvest Hub, ClaimLens · Phase 2 (Claude Code, repositories, working in project repos, live project work) to follow</t>
        </is>
      </c>
    </row>
    <row r="47" ht="15.75" customHeight="1" s="71"/>
    <row r="48" ht="15.75" customHeight="1" s="71"/>
    <row r="49" ht="15.75" customHeight="1" s="71"/>
    <row r="50" ht="15.75" customHeight="1" s="71"/>
    <row r="51" ht="15.75" customHeight="1" s="71"/>
    <row r="52" ht="15.75" customHeight="1" s="71"/>
    <row r="53" ht="15.75" customHeight="1" s="71"/>
    <row r="54" ht="15.75" customHeight="1" s="71"/>
    <row r="55" ht="15.75" customHeight="1" s="71"/>
    <row r="56" ht="15.75" customHeight="1" s="71"/>
    <row r="57" ht="15.75" customHeight="1" s="71"/>
    <row r="58" ht="15.75" customHeight="1" s="71"/>
    <row r="59" ht="15.75" customHeight="1" s="71"/>
    <row r="60" ht="15.75" customHeight="1" s="71"/>
    <row r="61" ht="15.75" customHeight="1" s="71"/>
    <row r="62" ht="15.75" customHeight="1" s="71"/>
    <row r="63" ht="15.75" customHeight="1" s="71"/>
    <row r="64" ht="15.75" customHeight="1" s="71"/>
    <row r="65" ht="15.75" customHeight="1" s="71"/>
    <row r="66" ht="15.75" customHeight="1" s="71"/>
    <row r="67" ht="15.75" customHeight="1" s="71"/>
    <row r="68" ht="15.75" customHeight="1" s="71"/>
    <row r="69" ht="15.75" customHeight="1" s="71"/>
    <row r="70" ht="15.75" customHeight="1" s="71"/>
    <row r="71" ht="15.75" customHeight="1" s="71"/>
    <row r="72" ht="15.75" customHeight="1" s="71"/>
    <row r="73" ht="15.75" customHeight="1" s="71"/>
    <row r="74" ht="15.75" customHeight="1" s="71"/>
    <row r="75" ht="15.75" customHeight="1" s="71"/>
    <row r="76" ht="15.75" customHeight="1" s="71"/>
    <row r="77" ht="15.75" customHeight="1" s="71"/>
    <row r="78" ht="15.75" customHeight="1" s="71"/>
    <row r="79" ht="15.75" customHeight="1" s="71"/>
    <row r="80" ht="15.75" customHeight="1" s="71"/>
    <row r="81" ht="15.75" customHeight="1" s="71"/>
    <row r="82" ht="15.75" customHeight="1" s="71"/>
    <row r="83" ht="15.75" customHeight="1" s="71"/>
    <row r="84" ht="15.75" customHeight="1" s="71"/>
    <row r="85" ht="15.75" customHeight="1" s="71"/>
    <row r="86" ht="15.75" customHeight="1" s="71"/>
    <row r="87" ht="15.75" customHeight="1" s="71"/>
    <row r="88" ht="15.75" customHeight="1" s="71"/>
    <row r="89" ht="15.75" customHeight="1" s="71"/>
    <row r="90" ht="15.75" customHeight="1" s="71"/>
    <row r="91" ht="15.75" customHeight="1" s="71"/>
    <row r="92" ht="15.75" customHeight="1" s="71"/>
    <row r="93" ht="15.75" customHeight="1" s="71"/>
    <row r="94" ht="15.75" customHeight="1" s="71"/>
    <row r="95" ht="15.75" customHeight="1" s="71"/>
    <row r="96" ht="15.75" customHeight="1" s="71"/>
    <row r="97" ht="15.75" customHeight="1" s="71"/>
    <row r="98" ht="15.75" customHeight="1" s="71"/>
    <row r="99" ht="15.75" customHeight="1" s="71"/>
    <row r="100" ht="15.75" customHeight="1" s="71"/>
    <row r="101" ht="15.75" customHeight="1" s="71"/>
    <row r="102" ht="15.75" customHeight="1" s="71"/>
    <row r="103" ht="15.75" customHeight="1" s="71"/>
    <row r="104" ht="15.75" customHeight="1" s="71"/>
    <row r="105" ht="15.75" customHeight="1" s="71"/>
    <row r="106" ht="15.75" customHeight="1" s="71"/>
    <row r="107" ht="15.75" customHeight="1" s="71"/>
    <row r="108" ht="15.75" customHeight="1" s="71"/>
    <row r="109" ht="15.75" customHeight="1" s="71"/>
    <row r="110" ht="15.75" customHeight="1" s="71"/>
    <row r="111" ht="15.75" customHeight="1" s="71"/>
    <row r="112" ht="15.75" customHeight="1" s="71"/>
    <row r="113" ht="15.75" customHeight="1" s="71"/>
    <row r="114" ht="15.75" customHeight="1" s="71"/>
    <row r="115" ht="15.75" customHeight="1" s="71"/>
    <row r="116" ht="15.75" customHeight="1" s="71"/>
    <row r="117" ht="15.75" customHeight="1" s="71"/>
    <row r="118" ht="15.75" customHeight="1" s="71"/>
    <row r="119" ht="15.75" customHeight="1" s="71"/>
    <row r="120" ht="15.75" customHeight="1" s="71"/>
    <row r="121" ht="15.75" customHeight="1" s="71"/>
    <row r="122" ht="15.75" customHeight="1" s="71"/>
    <row r="123" ht="15.75" customHeight="1" s="71"/>
    <row r="124" ht="15.75" customHeight="1" s="71"/>
    <row r="125" ht="15.75" customHeight="1" s="71"/>
    <row r="126" ht="15.75" customHeight="1" s="71"/>
    <row r="127" ht="15.75" customHeight="1" s="71"/>
    <row r="128" ht="15.75" customHeight="1" s="71"/>
    <row r="129" ht="15.75" customHeight="1" s="71"/>
    <row r="130" ht="15.75" customHeight="1" s="71"/>
    <row r="131" ht="15.75" customHeight="1" s="71"/>
    <row r="132" ht="15.75" customHeight="1" s="71"/>
    <row r="133" ht="15.75" customHeight="1" s="71"/>
    <row r="134" ht="15.75" customHeight="1" s="71"/>
    <row r="135" ht="15.75" customHeight="1" s="71"/>
    <row r="136" ht="15.75" customHeight="1" s="71"/>
    <row r="137" ht="15.75" customHeight="1" s="71"/>
    <row r="138" ht="15.75" customHeight="1" s="71"/>
    <row r="139" ht="15.75" customHeight="1" s="71"/>
    <row r="140" ht="15.75" customHeight="1" s="71"/>
    <row r="141" ht="15.75" customHeight="1" s="71"/>
    <row r="142" ht="15.75" customHeight="1" s="71"/>
    <row r="143" ht="15.75" customHeight="1" s="71"/>
    <row r="144" ht="15.75" customHeight="1" s="71"/>
    <row r="145" ht="15.75" customHeight="1" s="71"/>
    <row r="146" ht="15.75" customHeight="1" s="71"/>
    <row r="147" ht="15.75" customHeight="1" s="71"/>
    <row r="148" ht="15.75" customHeight="1" s="71"/>
    <row r="149" ht="15.75" customHeight="1" s="71"/>
    <row r="150" ht="15.75" customHeight="1" s="71"/>
    <row r="151" ht="15.75" customHeight="1" s="71"/>
    <row r="152" ht="15.75" customHeight="1" s="71"/>
    <row r="153" ht="15.75" customHeight="1" s="71"/>
    <row r="154" ht="15.75" customHeight="1" s="71"/>
    <row r="155" ht="15.75" customHeight="1" s="71"/>
    <row r="156" ht="15.75" customHeight="1" s="71"/>
    <row r="157" ht="15.75" customHeight="1" s="71"/>
    <row r="158" ht="15.75" customHeight="1" s="71"/>
    <row r="159" ht="15.75" customHeight="1" s="71"/>
    <row r="160" ht="15.75" customHeight="1" s="71"/>
    <row r="161" ht="15.75" customHeight="1" s="71"/>
    <row r="162" ht="15.75" customHeight="1" s="71"/>
    <row r="163" ht="15.75" customHeight="1" s="71"/>
    <row r="164" ht="15.75" customHeight="1" s="71"/>
    <row r="165" ht="15.75" customHeight="1" s="71"/>
    <row r="166" ht="15.75" customHeight="1" s="71"/>
    <row r="167" ht="15.75" customHeight="1" s="71"/>
    <row r="168" ht="15.75" customHeight="1" s="71"/>
    <row r="169" ht="15.75" customHeight="1" s="71"/>
    <row r="170" ht="15.75" customHeight="1" s="71"/>
    <row r="171" ht="15.75" customHeight="1" s="71"/>
    <row r="172" ht="15.75" customHeight="1" s="71"/>
    <row r="173" ht="15.75" customHeight="1" s="71"/>
    <row r="174" ht="15.75" customHeight="1" s="71"/>
    <row r="175" ht="15.75" customHeight="1" s="71"/>
    <row r="176" ht="15.75" customHeight="1" s="71"/>
    <row r="177" ht="15.75" customHeight="1" s="71"/>
    <row r="178" ht="15.75" customHeight="1" s="71"/>
    <row r="179" ht="15.75" customHeight="1" s="71"/>
    <row r="180" ht="15.75" customHeight="1" s="71"/>
    <row r="181" ht="15.75" customHeight="1" s="71"/>
    <row r="182" ht="15.75" customHeight="1" s="71"/>
    <row r="183" ht="15.75" customHeight="1" s="71"/>
    <row r="184" ht="15.75" customHeight="1" s="71"/>
    <row r="185" ht="15.75" customHeight="1" s="71"/>
    <row r="186" ht="15.75" customHeight="1" s="71"/>
    <row r="187" ht="15.75" customHeight="1" s="71"/>
    <row r="188" ht="15.75" customHeight="1" s="71"/>
    <row r="189" ht="15.75" customHeight="1" s="71"/>
    <row r="190" ht="15.75" customHeight="1" s="71"/>
    <row r="191" ht="15.75" customHeight="1" s="71"/>
    <row r="192" ht="15.75" customHeight="1" s="71"/>
    <row r="193" ht="15.75" customHeight="1" s="71"/>
    <row r="194" ht="15.75" customHeight="1" s="71"/>
    <row r="195" ht="15.75" customHeight="1" s="71"/>
    <row r="196" ht="15.75" customHeight="1" s="71"/>
    <row r="197" ht="15.75" customHeight="1" s="71"/>
    <row r="198" ht="15.75" customHeight="1" s="71"/>
    <row r="199" ht="15.75" customHeight="1" s="71"/>
    <row r="200" ht="15.75" customHeight="1" s="71"/>
    <row r="201" ht="15.75" customHeight="1" s="71"/>
    <row r="202" ht="15.75" customHeight="1" s="71"/>
    <row r="203" ht="15.75" customHeight="1" s="71"/>
    <row r="204" ht="15.75" customHeight="1" s="71"/>
    <row r="205" ht="15.75" customHeight="1" s="71"/>
    <row r="206" ht="15.75" customHeight="1" s="71"/>
    <row r="207" ht="15.75" customHeight="1" s="71"/>
    <row r="208" ht="15.75" customHeight="1" s="71"/>
    <row r="209" ht="15.75" customHeight="1" s="71"/>
    <row r="210" ht="15.75" customHeight="1" s="71"/>
    <row r="211" ht="15.75" customHeight="1" s="71"/>
    <row r="212" ht="15.75" customHeight="1" s="71"/>
    <row r="213" ht="15.75" customHeight="1" s="71"/>
    <row r="214" ht="15.75" customHeight="1" s="71"/>
    <row r="215" ht="15.75" customHeight="1" s="71"/>
    <row r="216" ht="15.75" customHeight="1" s="71"/>
    <row r="217" ht="15.75" customHeight="1" s="71"/>
    <row r="218" ht="15.75" customHeight="1" s="71"/>
    <row r="219" ht="15.75" customHeight="1" s="71"/>
    <row r="220" ht="15.75" customHeight="1" s="71"/>
    <row r="221" ht="15.75" customHeight="1" s="71"/>
    <row r="222" ht="15.75" customHeight="1" s="71"/>
    <row r="223" ht="15.75" customHeight="1" s="71"/>
    <row r="224" ht="15.75" customHeight="1" s="71"/>
    <row r="225" ht="15.75" customHeight="1" s="71"/>
    <row r="226" ht="15.75" customHeight="1" s="71"/>
    <row r="227" ht="15.75" customHeight="1" s="71"/>
    <row r="228" ht="15.75" customHeight="1" s="71"/>
    <row r="229" ht="15.75" customHeight="1" s="71"/>
    <row r="230" ht="15.75" customHeight="1" s="71"/>
    <row r="231" ht="15.75" customHeight="1" s="71"/>
    <row r="232" ht="15.75" customHeight="1" s="71"/>
    <row r="233" ht="15.75" customHeight="1" s="71"/>
    <row r="234" ht="15.75" customHeight="1" s="71"/>
    <row r="235" ht="15.75" customHeight="1" s="71"/>
    <row r="236" ht="15.75" customHeight="1" s="71"/>
    <row r="237" ht="15.75" customHeight="1" s="71"/>
    <row r="238" ht="15.75" customHeight="1" s="71"/>
    <row r="239" ht="15.75" customHeight="1" s="71"/>
    <row r="240" ht="15.75" customHeight="1" s="71"/>
    <row r="241" ht="15.75" customHeight="1" s="71"/>
    <row r="242" ht="15.75" customHeight="1" s="71"/>
    <row r="243" ht="15.75" customHeight="1" s="71"/>
    <row r="244" ht="15.75" customHeight="1" s="71"/>
    <row r="245" ht="15.75" customHeight="1" s="71"/>
    <row r="246" ht="15.75" customHeight="1" s="71"/>
    <row r="247" ht="15.75" customHeight="1" s="71"/>
    <row r="248" ht="15.75" customHeight="1" s="71"/>
    <row r="249" ht="15.75" customHeight="1" s="71"/>
    <row r="250" ht="15.75" customHeight="1" s="71"/>
    <row r="251" ht="15.75" customHeight="1" s="71"/>
    <row r="252" ht="15.75" customHeight="1" s="71"/>
    <row r="253" ht="15.75" customHeight="1" s="71"/>
    <row r="254" ht="15.75" customHeight="1" s="71"/>
    <row r="255" ht="15.75" customHeight="1" s="71"/>
    <row r="256" ht="15.75" customHeight="1" s="71"/>
    <row r="257" ht="15.75" customHeight="1" s="71"/>
    <row r="258" ht="15.75" customHeight="1" s="71"/>
    <row r="259" ht="15.75" customHeight="1" s="71"/>
    <row r="260" ht="15.75" customHeight="1" s="71"/>
    <row r="261" ht="15.75" customHeight="1" s="71"/>
    <row r="262" ht="15.75" customHeight="1" s="71"/>
    <row r="263" ht="15.75" customHeight="1" s="71"/>
    <row r="264" ht="15.75" customHeight="1" s="71"/>
    <row r="265" ht="15.75" customHeight="1" s="71"/>
    <row r="266" ht="15.75" customHeight="1" s="71"/>
    <row r="267" ht="15.75" customHeight="1" s="71"/>
    <row r="268" ht="15.75" customHeight="1" s="71"/>
    <row r="269" ht="15.75" customHeight="1" s="71"/>
    <row r="270" ht="15.75" customHeight="1" s="71"/>
    <row r="271" ht="15.75" customHeight="1" s="71"/>
    <row r="272" ht="15.75" customHeight="1" s="71"/>
    <row r="273" ht="15.75" customHeight="1" s="71"/>
    <row r="274" ht="15.75" customHeight="1" s="71"/>
    <row r="275" ht="15.75" customHeight="1" s="71"/>
    <row r="276" ht="15.75" customHeight="1" s="71"/>
    <row r="277" ht="15.75" customHeight="1" s="71"/>
    <row r="278" ht="15.75" customHeight="1" s="71"/>
    <row r="279" ht="15.75" customHeight="1" s="71"/>
    <row r="280" ht="15.75" customHeight="1" s="71"/>
    <row r="281" ht="15.75" customHeight="1" s="71"/>
    <row r="282" ht="15.75" customHeight="1" s="71"/>
    <row r="283" ht="15.75" customHeight="1" s="71"/>
    <row r="284" ht="15.75" customHeight="1" s="71"/>
    <row r="285" ht="15.75" customHeight="1" s="71"/>
    <row r="286" ht="15.75" customHeight="1" s="71"/>
    <row r="287" ht="15.75" customHeight="1" s="71"/>
    <row r="288" ht="15.75" customHeight="1" s="71"/>
    <row r="289" ht="15.75" customHeight="1" s="71"/>
    <row r="290" ht="15.75" customHeight="1" s="71"/>
    <row r="291" ht="15.75" customHeight="1" s="71"/>
    <row r="292" ht="15.75" customHeight="1" s="71"/>
    <row r="293" ht="15.75" customHeight="1" s="71"/>
    <row r="294" ht="15.75" customHeight="1" s="71"/>
    <row r="295" ht="15.75" customHeight="1" s="71"/>
    <row r="296" ht="15.75" customHeight="1" s="71"/>
    <row r="297" ht="15.75" customHeight="1" s="71"/>
    <row r="298" ht="15.75" customHeight="1" s="71"/>
    <row r="299" ht="15.75" customHeight="1" s="71"/>
    <row r="300" ht="15.75" customHeight="1" s="71"/>
    <row r="301" ht="15.75" customHeight="1" s="71"/>
    <row r="302" ht="15.75" customHeight="1" s="71"/>
    <row r="303" ht="15.75" customHeight="1" s="71"/>
    <row r="304" ht="15.75" customHeight="1" s="71"/>
    <row r="305" ht="15.75" customHeight="1" s="71"/>
    <row r="306" ht="15.75" customHeight="1" s="71"/>
    <row r="307" ht="15.75" customHeight="1" s="71"/>
    <row r="308" ht="15.75" customHeight="1" s="71"/>
    <row r="309" ht="15.75" customHeight="1" s="71"/>
    <row r="310" ht="15.75" customHeight="1" s="71"/>
    <row r="311" ht="15.75" customHeight="1" s="71"/>
    <row r="312" ht="15.75" customHeight="1" s="71"/>
    <row r="313" ht="15.75" customHeight="1" s="71"/>
    <row r="314" ht="15.75" customHeight="1" s="71"/>
    <row r="315" ht="15.75" customHeight="1" s="71"/>
    <row r="316" ht="15.75" customHeight="1" s="71"/>
    <row r="317" ht="15.75" customHeight="1" s="71"/>
    <row r="318" ht="15.75" customHeight="1" s="71"/>
    <row r="319" ht="15.75" customHeight="1" s="71"/>
    <row r="320" ht="15.75" customHeight="1" s="71"/>
    <row r="321" ht="15.75" customHeight="1" s="71"/>
    <row r="322" ht="15.75" customHeight="1" s="71"/>
    <row r="323" ht="15.75" customHeight="1" s="71"/>
    <row r="324" ht="15.75" customHeight="1" s="71"/>
    <row r="325" ht="15.75" customHeight="1" s="71"/>
    <row r="326" ht="15.75" customHeight="1" s="71"/>
    <row r="327" ht="15.75" customHeight="1" s="71"/>
    <row r="328" ht="15.75" customHeight="1" s="71"/>
    <row r="329" ht="15.75" customHeight="1" s="71"/>
    <row r="330" ht="15.75" customHeight="1" s="71"/>
    <row r="331" ht="15.75" customHeight="1" s="71"/>
    <row r="332" ht="15.75" customHeight="1" s="71"/>
    <row r="333" ht="15.75" customHeight="1" s="71"/>
    <row r="334" ht="15.75" customHeight="1" s="71"/>
    <row r="335" ht="15.75" customHeight="1" s="71"/>
    <row r="336" ht="15.75" customHeight="1" s="71"/>
    <row r="337" ht="15.75" customHeight="1" s="71"/>
    <row r="338" ht="15.75" customHeight="1" s="71"/>
    <row r="339" ht="15.75" customHeight="1" s="71"/>
    <row r="340" ht="15.75" customHeight="1" s="71"/>
    <row r="341" ht="15.75" customHeight="1" s="71"/>
    <row r="342" ht="15.75" customHeight="1" s="71"/>
    <row r="343" ht="15.75" customHeight="1" s="71"/>
    <row r="344" ht="15.75" customHeight="1" s="71"/>
    <row r="345" ht="15.75" customHeight="1" s="71"/>
    <row r="346" ht="15.75" customHeight="1" s="71"/>
    <row r="347" ht="15.75" customHeight="1" s="71"/>
    <row r="348" ht="15.75" customHeight="1" s="71"/>
    <row r="349" ht="15.75" customHeight="1" s="71"/>
    <row r="350" ht="15.75" customHeight="1" s="71"/>
    <row r="351" ht="15.75" customHeight="1" s="71"/>
    <row r="352" ht="15.75" customHeight="1" s="71"/>
    <row r="353" ht="15.75" customHeight="1" s="71"/>
    <row r="354" ht="15.75" customHeight="1" s="71"/>
    <row r="355" ht="15.75" customHeight="1" s="71"/>
    <row r="356" ht="15.75" customHeight="1" s="71"/>
    <row r="357" ht="15.75" customHeight="1" s="71"/>
    <row r="358" ht="15.75" customHeight="1" s="71"/>
    <row r="359" ht="15.75" customHeight="1" s="71"/>
    <row r="360" ht="15.75" customHeight="1" s="71"/>
    <row r="361" ht="15.75" customHeight="1" s="71"/>
    <row r="362" ht="15.75" customHeight="1" s="71"/>
    <row r="363" ht="15.75" customHeight="1" s="71"/>
    <row r="364" ht="15.75" customHeight="1" s="71"/>
    <row r="365" ht="15.75" customHeight="1" s="71"/>
    <row r="366" ht="15.75" customHeight="1" s="71"/>
    <row r="367" ht="15.75" customHeight="1" s="71"/>
    <row r="368" ht="15.75" customHeight="1" s="71"/>
    <row r="369" ht="15.75" customHeight="1" s="71"/>
    <row r="370" ht="15.75" customHeight="1" s="71"/>
    <row r="371" ht="15.75" customHeight="1" s="71"/>
    <row r="372" ht="15.75" customHeight="1" s="71"/>
    <row r="373" ht="15.75" customHeight="1" s="71"/>
    <row r="374" ht="15.75" customHeight="1" s="71"/>
    <row r="375" ht="15.75" customHeight="1" s="71"/>
    <row r="376" ht="15.75" customHeight="1" s="71"/>
    <row r="377" ht="15.75" customHeight="1" s="71"/>
    <row r="378" ht="15.75" customHeight="1" s="71"/>
    <row r="379" ht="15.75" customHeight="1" s="71"/>
    <row r="380" ht="15.75" customHeight="1" s="71"/>
    <row r="381" ht="15.75" customHeight="1" s="71"/>
    <row r="382" ht="15.75" customHeight="1" s="71"/>
    <row r="383" ht="15.75" customHeight="1" s="71"/>
    <row r="384" ht="15.75" customHeight="1" s="71"/>
    <row r="385" ht="15.75" customHeight="1" s="71"/>
    <row r="386" ht="15.75" customHeight="1" s="71"/>
    <row r="387" ht="15.75" customHeight="1" s="71"/>
    <row r="388" ht="15.75" customHeight="1" s="71"/>
    <row r="389" ht="15.75" customHeight="1" s="71"/>
    <row r="390" ht="15.75" customHeight="1" s="71"/>
    <row r="391" ht="15.75" customHeight="1" s="71"/>
    <row r="392" ht="15.75" customHeight="1" s="71"/>
    <row r="393" ht="15.75" customHeight="1" s="71"/>
    <row r="394" ht="15.75" customHeight="1" s="71"/>
    <row r="395" ht="15.75" customHeight="1" s="71"/>
    <row r="396" ht="15.75" customHeight="1" s="71"/>
    <row r="397" ht="15.75" customHeight="1" s="71"/>
    <row r="398" ht="15.75" customHeight="1" s="71"/>
    <row r="399" ht="15.75" customHeight="1" s="71"/>
    <row r="400" ht="15.75" customHeight="1" s="71"/>
    <row r="401" ht="15.75" customHeight="1" s="71"/>
    <row r="402" ht="15.75" customHeight="1" s="71"/>
    <row r="403" ht="15.75" customHeight="1" s="71"/>
    <row r="404" ht="15.75" customHeight="1" s="71"/>
    <row r="405" ht="15.75" customHeight="1" s="71"/>
    <row r="406" ht="15.75" customHeight="1" s="71"/>
    <row r="407" ht="15.75" customHeight="1" s="71"/>
    <row r="408" ht="15.75" customHeight="1" s="71"/>
    <row r="409" ht="15.75" customHeight="1" s="71"/>
    <row r="410" ht="15.75" customHeight="1" s="71"/>
    <row r="411" ht="15.75" customHeight="1" s="71"/>
    <row r="412" ht="15.75" customHeight="1" s="71"/>
    <row r="413" ht="15.75" customHeight="1" s="71"/>
    <row r="414" ht="15.75" customHeight="1" s="71"/>
    <row r="415" ht="15.75" customHeight="1" s="71"/>
    <row r="416" ht="15.75" customHeight="1" s="71"/>
    <row r="417" ht="15.75" customHeight="1" s="71"/>
    <row r="418" ht="15.75" customHeight="1" s="71"/>
    <row r="419" ht="15.75" customHeight="1" s="71"/>
    <row r="420" ht="15.75" customHeight="1" s="71"/>
    <row r="421" ht="15.75" customHeight="1" s="71"/>
    <row r="422" ht="15.75" customHeight="1" s="71"/>
    <row r="423" ht="15.75" customHeight="1" s="71"/>
    <row r="424" ht="15.75" customHeight="1" s="71"/>
    <row r="425" ht="15.75" customHeight="1" s="71"/>
    <row r="426" ht="15.75" customHeight="1" s="71"/>
    <row r="427" ht="15.75" customHeight="1" s="71"/>
    <row r="428" ht="15.75" customHeight="1" s="71"/>
    <row r="429" ht="15.75" customHeight="1" s="71"/>
    <row r="430" ht="15.75" customHeight="1" s="71"/>
    <row r="431" ht="15.75" customHeight="1" s="71"/>
    <row r="432" ht="15.75" customHeight="1" s="71"/>
    <row r="433" ht="15.75" customHeight="1" s="71"/>
    <row r="434" ht="15.75" customHeight="1" s="71"/>
    <row r="435" ht="15.75" customHeight="1" s="71"/>
    <row r="436" ht="15.75" customHeight="1" s="71"/>
    <row r="437" ht="15.75" customHeight="1" s="71"/>
    <row r="438" ht="15.75" customHeight="1" s="71"/>
    <row r="439" ht="15.75" customHeight="1" s="71"/>
    <row r="440" ht="15.75" customHeight="1" s="71"/>
    <row r="441" ht="15.75" customHeight="1" s="71"/>
    <row r="442" ht="15.75" customHeight="1" s="71"/>
    <row r="443" ht="15.75" customHeight="1" s="71"/>
    <row r="444" ht="15.75" customHeight="1" s="71"/>
    <row r="445" ht="15.75" customHeight="1" s="71"/>
    <row r="446" ht="15.75" customHeight="1" s="71"/>
    <row r="447" ht="15.75" customHeight="1" s="71"/>
    <row r="448" ht="15.75" customHeight="1" s="71"/>
    <row r="449" ht="15.75" customHeight="1" s="71"/>
    <row r="450" ht="15.75" customHeight="1" s="71"/>
    <row r="451" ht="15.75" customHeight="1" s="71"/>
    <row r="452" ht="15.75" customHeight="1" s="71"/>
    <row r="453" ht="15.75" customHeight="1" s="71"/>
    <row r="454" ht="15.75" customHeight="1" s="71"/>
    <row r="455" ht="15.75" customHeight="1" s="71"/>
    <row r="456" ht="15.75" customHeight="1" s="71"/>
    <row r="457" ht="15.75" customHeight="1" s="71"/>
    <row r="458" ht="15.75" customHeight="1" s="71"/>
    <row r="459" ht="15.75" customHeight="1" s="71"/>
    <row r="460" ht="15.75" customHeight="1" s="71"/>
    <row r="461" ht="15.75" customHeight="1" s="71"/>
    <row r="462" ht="15.75" customHeight="1" s="71"/>
    <row r="463" ht="15.75" customHeight="1" s="71"/>
    <row r="464" ht="15.75" customHeight="1" s="71"/>
    <row r="465" ht="15.75" customHeight="1" s="71"/>
    <row r="466" ht="15.75" customHeight="1" s="71"/>
    <row r="467" ht="15.75" customHeight="1" s="71"/>
    <row r="468" ht="15.75" customHeight="1" s="71"/>
    <row r="469" ht="15.75" customHeight="1" s="71"/>
    <row r="470" ht="15.75" customHeight="1" s="71"/>
    <row r="471" ht="15.75" customHeight="1" s="71"/>
    <row r="472" ht="15.75" customHeight="1" s="71"/>
    <row r="473" ht="15.75" customHeight="1" s="71"/>
    <row r="474" ht="15.75" customHeight="1" s="71"/>
    <row r="475" ht="15.75" customHeight="1" s="71"/>
    <row r="476" ht="15.75" customHeight="1" s="71"/>
    <row r="477" ht="15.75" customHeight="1" s="71"/>
    <row r="478" ht="15.75" customHeight="1" s="71"/>
    <row r="479" ht="15.75" customHeight="1" s="71"/>
    <row r="480" ht="15.75" customHeight="1" s="71"/>
    <row r="481" ht="15.75" customHeight="1" s="71"/>
    <row r="482" ht="15.75" customHeight="1" s="71"/>
    <row r="483" ht="15.75" customHeight="1" s="71"/>
    <row r="484" ht="15.75" customHeight="1" s="71"/>
    <row r="485" ht="15.75" customHeight="1" s="71"/>
    <row r="486" ht="15.75" customHeight="1" s="71"/>
    <row r="487" ht="15.75" customHeight="1" s="71"/>
    <row r="488" ht="15.75" customHeight="1" s="71"/>
    <row r="489" ht="15.75" customHeight="1" s="71"/>
    <row r="490" ht="15.75" customHeight="1" s="71"/>
    <row r="491" ht="15.75" customHeight="1" s="71"/>
    <row r="492" ht="15.75" customHeight="1" s="71"/>
    <row r="493" ht="15.75" customHeight="1" s="71"/>
    <row r="494" ht="15.75" customHeight="1" s="71"/>
    <row r="495" ht="15.75" customHeight="1" s="71"/>
    <row r="496" ht="15.75" customHeight="1" s="71"/>
    <row r="497" ht="15.75" customHeight="1" s="71"/>
    <row r="498" ht="15.75" customHeight="1" s="71"/>
    <row r="499" ht="15.75" customHeight="1" s="71"/>
    <row r="500" ht="15.75" customHeight="1" s="71"/>
    <row r="501" ht="15.75" customHeight="1" s="71"/>
    <row r="502" ht="15.75" customHeight="1" s="71"/>
    <row r="503" ht="15.75" customHeight="1" s="71"/>
    <row r="504" ht="15.75" customHeight="1" s="71"/>
    <row r="505" ht="15.75" customHeight="1" s="71"/>
    <row r="506" ht="15.75" customHeight="1" s="71"/>
    <row r="507" ht="15.75" customHeight="1" s="71"/>
    <row r="508" ht="15.75" customHeight="1" s="71"/>
    <row r="509" ht="15.75" customHeight="1" s="71"/>
    <row r="510" ht="15.75" customHeight="1" s="71"/>
    <row r="511" ht="15.75" customHeight="1" s="71"/>
    <row r="512" ht="15.75" customHeight="1" s="71"/>
    <row r="513" ht="15.75" customHeight="1" s="71"/>
    <row r="514" ht="15.75" customHeight="1" s="71"/>
    <row r="515" ht="15.75" customHeight="1" s="71"/>
    <row r="516" ht="15.75" customHeight="1" s="71"/>
    <row r="517" ht="15.75" customHeight="1" s="71"/>
    <row r="518" ht="15.75" customHeight="1" s="71"/>
    <row r="519" ht="15.75" customHeight="1" s="71"/>
    <row r="520" ht="15.75" customHeight="1" s="71"/>
    <row r="521" ht="15.75" customHeight="1" s="71"/>
    <row r="522" ht="15.75" customHeight="1" s="71"/>
    <row r="523" ht="15.75" customHeight="1" s="71"/>
    <row r="524" ht="15.75" customHeight="1" s="71"/>
    <row r="525" ht="15.75" customHeight="1" s="71"/>
    <row r="526" ht="15.75" customHeight="1" s="71"/>
    <row r="527" ht="15.75" customHeight="1" s="71"/>
    <row r="528" ht="15.75" customHeight="1" s="71"/>
    <row r="529" ht="15.75" customHeight="1" s="71"/>
    <row r="530" ht="15.75" customHeight="1" s="71"/>
    <row r="531" ht="15.75" customHeight="1" s="71"/>
    <row r="532" ht="15.75" customHeight="1" s="71"/>
    <row r="533" ht="15.75" customHeight="1" s="71"/>
    <row r="534" ht="15.75" customHeight="1" s="71"/>
    <row r="535" ht="15.75" customHeight="1" s="71"/>
    <row r="536" ht="15.75" customHeight="1" s="71"/>
    <row r="537" ht="15.75" customHeight="1" s="71"/>
    <row r="538" ht="15.75" customHeight="1" s="71"/>
    <row r="539" ht="15.75" customHeight="1" s="71"/>
    <row r="540" ht="15.75" customHeight="1" s="71"/>
    <row r="541" ht="15.75" customHeight="1" s="71"/>
    <row r="542" ht="15.75" customHeight="1" s="71"/>
    <row r="543" ht="15.75" customHeight="1" s="71"/>
    <row r="544" ht="15.75" customHeight="1" s="71"/>
    <row r="545" ht="15.75" customHeight="1" s="71"/>
    <row r="546" ht="15.75" customHeight="1" s="71"/>
    <row r="547" ht="15.75" customHeight="1" s="71"/>
    <row r="548" ht="15.75" customHeight="1" s="71"/>
    <row r="549" ht="15.75" customHeight="1" s="71"/>
    <row r="550" ht="15.75" customHeight="1" s="71"/>
    <row r="551" ht="15.75" customHeight="1" s="71"/>
    <row r="552" ht="15.75" customHeight="1" s="71"/>
    <row r="553" ht="15.75" customHeight="1" s="71"/>
    <row r="554" ht="15.75" customHeight="1" s="71"/>
    <row r="555" ht="15.75" customHeight="1" s="71"/>
    <row r="556" ht="15.75" customHeight="1" s="71"/>
    <row r="557" ht="15.75" customHeight="1" s="71"/>
    <row r="558" ht="15.75" customHeight="1" s="71"/>
    <row r="559" ht="15.75" customHeight="1" s="71"/>
    <row r="560" ht="15.75" customHeight="1" s="71"/>
    <row r="561" ht="15.75" customHeight="1" s="71"/>
    <row r="562" ht="15.75" customHeight="1" s="71"/>
    <row r="563" ht="15.75" customHeight="1" s="71"/>
    <row r="564" ht="15.75" customHeight="1" s="71"/>
    <row r="565" ht="15.75" customHeight="1" s="71"/>
    <row r="566" ht="15.75" customHeight="1" s="71"/>
    <row r="567" ht="15.75" customHeight="1" s="71"/>
    <row r="568" ht="15.75" customHeight="1" s="71"/>
    <row r="569" ht="15.75" customHeight="1" s="71"/>
    <row r="570" ht="15.75" customHeight="1" s="71"/>
    <row r="571" ht="15.75" customHeight="1" s="71"/>
    <row r="572" ht="15.75" customHeight="1" s="71"/>
    <row r="573" ht="15.75" customHeight="1" s="71"/>
    <row r="574" ht="15.75" customHeight="1" s="71"/>
    <row r="575" ht="15.75" customHeight="1" s="71"/>
    <row r="576" ht="15.75" customHeight="1" s="71"/>
    <row r="577" ht="15.75" customHeight="1" s="71"/>
    <row r="578" ht="15.75" customHeight="1" s="71"/>
    <row r="579" ht="15.75" customHeight="1" s="71"/>
    <row r="580" ht="15.75" customHeight="1" s="71"/>
    <row r="581" ht="15.75" customHeight="1" s="71"/>
    <row r="582" ht="15.75" customHeight="1" s="71"/>
    <row r="583" ht="15.75" customHeight="1" s="71"/>
    <row r="584" ht="15.75" customHeight="1" s="71"/>
    <row r="585" ht="15.75" customHeight="1" s="71"/>
    <row r="586" ht="15.75" customHeight="1" s="71"/>
    <row r="587" ht="15.75" customHeight="1" s="71"/>
    <row r="588" ht="15.75" customHeight="1" s="71"/>
    <row r="589" ht="15.75" customHeight="1" s="71"/>
    <row r="590" ht="15.75" customHeight="1" s="71"/>
    <row r="591" ht="15.75" customHeight="1" s="71"/>
    <row r="592" ht="15.75" customHeight="1" s="71"/>
    <row r="593" ht="15.75" customHeight="1" s="71"/>
    <row r="594" ht="15.75" customHeight="1" s="71"/>
    <row r="595" ht="15.75" customHeight="1" s="71"/>
    <row r="596" ht="15.75" customHeight="1" s="71"/>
    <row r="597" ht="15.75" customHeight="1" s="71"/>
    <row r="598" ht="15.75" customHeight="1" s="71"/>
    <row r="599" ht="15.75" customHeight="1" s="71"/>
    <row r="600" ht="15.75" customHeight="1" s="71"/>
    <row r="601" ht="15.75" customHeight="1" s="71"/>
    <row r="602" ht="15.75" customHeight="1" s="71"/>
    <row r="603" ht="15.75" customHeight="1" s="71"/>
    <row r="604" ht="15.75" customHeight="1" s="71"/>
    <row r="605" ht="15.75" customHeight="1" s="71"/>
    <row r="606" ht="15.75" customHeight="1" s="71"/>
    <row r="607" ht="15.75" customHeight="1" s="71"/>
    <row r="608" ht="15.75" customHeight="1" s="71"/>
    <row r="609" ht="15.75" customHeight="1" s="71"/>
    <row r="610" ht="15.75" customHeight="1" s="71"/>
    <row r="611" ht="15.75" customHeight="1" s="71"/>
    <row r="612" ht="15.75" customHeight="1" s="71"/>
    <row r="613" ht="15.75" customHeight="1" s="71"/>
    <row r="614" ht="15.75" customHeight="1" s="71"/>
    <row r="615" ht="15.75" customHeight="1" s="71"/>
    <row r="616" ht="15.75" customHeight="1" s="71"/>
    <row r="617" ht="15.75" customHeight="1" s="71"/>
    <row r="618" ht="15.75" customHeight="1" s="71"/>
    <row r="619" ht="15.75" customHeight="1" s="71"/>
    <row r="620" ht="15.75" customHeight="1" s="71"/>
    <row r="621" ht="15.75" customHeight="1" s="71"/>
    <row r="622" ht="15.75" customHeight="1" s="71"/>
    <row r="623" ht="15.75" customHeight="1" s="71"/>
    <row r="624" ht="15.75" customHeight="1" s="71"/>
    <row r="625" ht="15.75" customHeight="1" s="71"/>
    <row r="626" ht="15.75" customHeight="1" s="71"/>
    <row r="627" ht="15.75" customHeight="1" s="71"/>
    <row r="628" ht="15.75" customHeight="1" s="71"/>
    <row r="629" ht="15.75" customHeight="1" s="71"/>
    <row r="630" ht="15.75" customHeight="1" s="71"/>
    <row r="631" ht="15.75" customHeight="1" s="71"/>
    <row r="632" ht="15.75" customHeight="1" s="71"/>
    <row r="633" ht="15.75" customHeight="1" s="71"/>
    <row r="634" ht="15.75" customHeight="1" s="71"/>
    <row r="635" ht="15.75" customHeight="1" s="71"/>
    <row r="636" ht="15.75" customHeight="1" s="71"/>
    <row r="637" ht="15.75" customHeight="1" s="71"/>
    <row r="638" ht="15.75" customHeight="1" s="71"/>
    <row r="639" ht="15.75" customHeight="1" s="71"/>
    <row r="640" ht="15.75" customHeight="1" s="71"/>
    <row r="641" ht="15.75" customHeight="1" s="71"/>
    <row r="642" ht="15.75" customHeight="1" s="71"/>
    <row r="643" ht="15.75" customHeight="1" s="71"/>
    <row r="644" ht="15.75" customHeight="1" s="71"/>
    <row r="645" ht="15.75" customHeight="1" s="71"/>
    <row r="646" ht="15.75" customHeight="1" s="71"/>
    <row r="647" ht="15.75" customHeight="1" s="71"/>
    <row r="648" ht="15.75" customHeight="1" s="71"/>
    <row r="649" ht="15.75" customHeight="1" s="71"/>
    <row r="650" ht="15.75" customHeight="1" s="71"/>
    <row r="651" ht="15.75" customHeight="1" s="71"/>
    <row r="652" ht="15.75" customHeight="1" s="71"/>
    <row r="653" ht="15.75" customHeight="1" s="71"/>
    <row r="654" ht="15.75" customHeight="1" s="71"/>
    <row r="655" ht="15.75" customHeight="1" s="71"/>
    <row r="656" ht="15.75" customHeight="1" s="71"/>
    <row r="657" ht="15.75" customHeight="1" s="71"/>
    <row r="658" ht="15.75" customHeight="1" s="71"/>
    <row r="659" ht="15.75" customHeight="1" s="71"/>
    <row r="660" ht="15.75" customHeight="1" s="71"/>
    <row r="661" ht="15.75" customHeight="1" s="71"/>
    <row r="662" ht="15.75" customHeight="1" s="71"/>
    <row r="663" ht="15.75" customHeight="1" s="71"/>
    <row r="664" ht="15.75" customHeight="1" s="71"/>
    <row r="665" ht="15.75" customHeight="1" s="71"/>
    <row r="666" ht="15.75" customHeight="1" s="71"/>
    <row r="667" ht="15.75" customHeight="1" s="71"/>
    <row r="668" ht="15.75" customHeight="1" s="71"/>
    <row r="669" ht="15.75" customHeight="1" s="71"/>
    <row r="670" ht="15.75" customHeight="1" s="71"/>
    <row r="671" ht="15.75" customHeight="1" s="71"/>
    <row r="672" ht="15.75" customHeight="1" s="71"/>
    <row r="673" ht="15.75" customHeight="1" s="71"/>
    <row r="674" ht="15.75" customHeight="1" s="71"/>
    <row r="675" ht="15.75" customHeight="1" s="71"/>
    <row r="676" ht="15.75" customHeight="1" s="71"/>
    <row r="677" ht="15.75" customHeight="1" s="71"/>
    <row r="678" ht="15.75" customHeight="1" s="71"/>
    <row r="679" ht="15.75" customHeight="1" s="71"/>
    <row r="680" ht="15.75" customHeight="1" s="71"/>
    <row r="681" ht="15.75" customHeight="1" s="71"/>
    <row r="682" ht="15.75" customHeight="1" s="71"/>
    <row r="683" ht="15.75" customHeight="1" s="71"/>
    <row r="684" ht="15.75" customHeight="1" s="71"/>
    <row r="685" ht="15.75" customHeight="1" s="71"/>
    <row r="686" ht="15.75" customHeight="1" s="71"/>
    <row r="687" ht="15.75" customHeight="1" s="71"/>
    <row r="688" ht="15.75" customHeight="1" s="71"/>
    <row r="689" ht="15.75" customHeight="1" s="71"/>
    <row r="690" ht="15.75" customHeight="1" s="71"/>
    <row r="691" ht="15.75" customHeight="1" s="71"/>
    <row r="692" ht="15.75" customHeight="1" s="71"/>
    <row r="693" ht="15.75" customHeight="1" s="71"/>
    <row r="694" ht="15.75" customHeight="1" s="71"/>
    <row r="695" ht="15.75" customHeight="1" s="71"/>
    <row r="696" ht="15.75" customHeight="1" s="71"/>
    <row r="697" ht="15.75" customHeight="1" s="71"/>
    <row r="698" ht="15.75" customHeight="1" s="71"/>
    <row r="699" ht="15.75" customHeight="1" s="71"/>
    <row r="700" ht="15.75" customHeight="1" s="71"/>
    <row r="701" ht="15.75" customHeight="1" s="71"/>
    <row r="702" ht="15.75" customHeight="1" s="71"/>
    <row r="703" ht="15.75" customHeight="1" s="71"/>
    <row r="704" ht="15.75" customHeight="1" s="71"/>
    <row r="705" ht="15.75" customHeight="1" s="71"/>
    <row r="706" ht="15.75" customHeight="1" s="71"/>
    <row r="707" ht="15.75" customHeight="1" s="71"/>
    <row r="708" ht="15.75" customHeight="1" s="71"/>
    <row r="709" ht="15.75" customHeight="1" s="71"/>
    <row r="710" ht="15.75" customHeight="1" s="71"/>
    <row r="711" ht="15.75" customHeight="1" s="71"/>
    <row r="712" ht="15.75" customHeight="1" s="71"/>
    <row r="713" ht="15.75" customHeight="1" s="71"/>
    <row r="714" ht="15.75" customHeight="1" s="71"/>
    <row r="715" ht="15.75" customHeight="1" s="71"/>
    <row r="716" ht="15.75" customHeight="1" s="71"/>
    <row r="717" ht="15.75" customHeight="1" s="71"/>
    <row r="718" ht="15.75" customHeight="1" s="71"/>
    <row r="719" ht="15.75" customHeight="1" s="71"/>
    <row r="720" ht="15.75" customHeight="1" s="71"/>
    <row r="721" ht="15.75" customHeight="1" s="71"/>
    <row r="722" ht="15.75" customHeight="1" s="71"/>
    <row r="723" ht="15.75" customHeight="1" s="71"/>
    <row r="724" ht="15.75" customHeight="1" s="71"/>
    <row r="725" ht="15.75" customHeight="1" s="71"/>
    <row r="726" ht="15.75" customHeight="1" s="71"/>
    <row r="727" ht="15.75" customHeight="1" s="71"/>
    <row r="728" ht="15.75" customHeight="1" s="71"/>
    <row r="729" ht="15.75" customHeight="1" s="71"/>
    <row r="730" ht="15.75" customHeight="1" s="71"/>
    <row r="731" ht="15.75" customHeight="1" s="71"/>
    <row r="732" ht="15.75" customHeight="1" s="71"/>
    <row r="733" ht="15.75" customHeight="1" s="71"/>
    <row r="734" ht="15.75" customHeight="1" s="71"/>
    <row r="735" ht="15.75" customHeight="1" s="71"/>
    <row r="736" ht="15.75" customHeight="1" s="71"/>
    <row r="737" ht="15.75" customHeight="1" s="71"/>
    <row r="738" ht="15.75" customHeight="1" s="71"/>
    <row r="739" ht="15.75" customHeight="1" s="71"/>
    <row r="740" ht="15.75" customHeight="1" s="71"/>
    <row r="741" ht="15.75" customHeight="1" s="71"/>
    <row r="742" ht="15.75" customHeight="1" s="71"/>
    <row r="743" ht="15.75" customHeight="1" s="71"/>
    <row r="744" ht="15.75" customHeight="1" s="71"/>
    <row r="745" ht="15.75" customHeight="1" s="71"/>
    <row r="746" ht="15.75" customHeight="1" s="71"/>
    <row r="747" ht="15.75" customHeight="1" s="71"/>
    <row r="748" ht="15.75" customHeight="1" s="71"/>
    <row r="749" ht="15.75" customHeight="1" s="71"/>
    <row r="750" ht="15.75" customHeight="1" s="71"/>
    <row r="751" ht="15.75" customHeight="1" s="71"/>
    <row r="752" ht="15.75" customHeight="1" s="71"/>
    <row r="753" ht="15.75" customHeight="1" s="71"/>
    <row r="754" ht="15.75" customHeight="1" s="71"/>
    <row r="755" ht="15.75" customHeight="1" s="71"/>
    <row r="756" ht="15.75" customHeight="1" s="71"/>
    <row r="757" ht="15.75" customHeight="1" s="71"/>
    <row r="758" ht="15.75" customHeight="1" s="71"/>
    <row r="759" ht="15.75" customHeight="1" s="71"/>
    <row r="760" ht="15.75" customHeight="1" s="71"/>
    <row r="761" ht="15.75" customHeight="1" s="71"/>
    <row r="762" ht="15.75" customHeight="1" s="71"/>
    <row r="763" ht="15.75" customHeight="1" s="71"/>
    <row r="764" ht="15.75" customHeight="1" s="71"/>
    <row r="765" ht="15.75" customHeight="1" s="71"/>
    <row r="766" ht="15.75" customHeight="1" s="71"/>
    <row r="767" ht="15.75" customHeight="1" s="71"/>
    <row r="768" ht="15.75" customHeight="1" s="71"/>
    <row r="769" ht="15.75" customHeight="1" s="71"/>
    <row r="770" ht="15.75" customHeight="1" s="71"/>
    <row r="771" ht="15.75" customHeight="1" s="71"/>
    <row r="772" ht="15.75" customHeight="1" s="71"/>
    <row r="773" ht="15.75" customHeight="1" s="71"/>
    <row r="774" ht="15.75" customHeight="1" s="71"/>
    <row r="775" ht="15.75" customHeight="1" s="71"/>
    <row r="776" ht="15.75" customHeight="1" s="71"/>
    <row r="777" ht="15.75" customHeight="1" s="71"/>
    <row r="778" ht="15.75" customHeight="1" s="71"/>
    <row r="779" ht="15.75" customHeight="1" s="71"/>
    <row r="780" ht="15.75" customHeight="1" s="71"/>
    <row r="781" ht="15.75" customHeight="1" s="71"/>
    <row r="782" ht="15.75" customHeight="1" s="71"/>
    <row r="783" ht="15.75" customHeight="1" s="71"/>
    <row r="784" ht="15.75" customHeight="1" s="71"/>
    <row r="785" ht="15.75" customHeight="1" s="71"/>
    <row r="786" ht="15.75" customHeight="1" s="71"/>
    <row r="787" ht="15.75" customHeight="1" s="71"/>
    <row r="788" ht="15.75" customHeight="1" s="71"/>
    <row r="789" ht="15.75" customHeight="1" s="71"/>
    <row r="790" ht="15.75" customHeight="1" s="71"/>
    <row r="791" ht="15.75" customHeight="1" s="71"/>
    <row r="792" ht="15.75" customHeight="1" s="71"/>
    <row r="793" ht="15.75" customHeight="1" s="71"/>
    <row r="794" ht="15.75" customHeight="1" s="71"/>
    <row r="795" ht="15.75" customHeight="1" s="71"/>
    <row r="796" ht="15.75" customHeight="1" s="71"/>
    <row r="797" ht="15.75" customHeight="1" s="71"/>
    <row r="798" ht="15.75" customHeight="1" s="71"/>
    <row r="799" ht="15.75" customHeight="1" s="71"/>
    <row r="800" ht="15.75" customHeight="1" s="71"/>
    <row r="801" ht="15.75" customHeight="1" s="71"/>
    <row r="802" ht="15.75" customHeight="1" s="71"/>
    <row r="803" ht="15.75" customHeight="1" s="71"/>
    <row r="804" ht="15.75" customHeight="1" s="71"/>
    <row r="805" ht="15.75" customHeight="1" s="71"/>
    <row r="806" ht="15.75" customHeight="1" s="71"/>
    <row r="807" ht="15.75" customHeight="1" s="71"/>
    <row r="808" ht="15.75" customHeight="1" s="71"/>
    <row r="809" ht="15.75" customHeight="1" s="71"/>
    <row r="810" ht="15.75" customHeight="1" s="71"/>
    <row r="811" ht="15.75" customHeight="1" s="71"/>
    <row r="812" ht="15.75" customHeight="1" s="71"/>
    <row r="813" ht="15.75" customHeight="1" s="71"/>
    <row r="814" ht="15.75" customHeight="1" s="71"/>
    <row r="815" ht="15.75" customHeight="1" s="71"/>
    <row r="816" ht="15.75" customHeight="1" s="71"/>
    <row r="817" ht="15.75" customHeight="1" s="71"/>
    <row r="818" ht="15.75" customHeight="1" s="71"/>
    <row r="819" ht="15.75" customHeight="1" s="71"/>
    <row r="820" ht="15.75" customHeight="1" s="71"/>
    <row r="821" ht="15.75" customHeight="1" s="71"/>
    <row r="822" ht="15.75" customHeight="1" s="71"/>
    <row r="823" ht="15.75" customHeight="1" s="71"/>
    <row r="824" ht="15.75" customHeight="1" s="71"/>
    <row r="825" ht="15.75" customHeight="1" s="71"/>
    <row r="826" ht="15.75" customHeight="1" s="71"/>
    <row r="827" ht="15.75" customHeight="1" s="71"/>
    <row r="828" ht="15.75" customHeight="1" s="71"/>
    <row r="829" ht="15.75" customHeight="1" s="71"/>
    <row r="830" ht="15.75" customHeight="1" s="71"/>
    <row r="831" ht="15.75" customHeight="1" s="71"/>
    <row r="832" ht="15.75" customHeight="1" s="71"/>
    <row r="833" ht="15.75" customHeight="1" s="71"/>
    <row r="834" ht="15.75" customHeight="1" s="71"/>
    <row r="835" ht="15.75" customHeight="1" s="71"/>
    <row r="836" ht="15.75" customHeight="1" s="71"/>
    <row r="837" ht="15.75" customHeight="1" s="71"/>
    <row r="838" ht="15.75" customHeight="1" s="71"/>
    <row r="839" ht="15.75" customHeight="1" s="71"/>
    <row r="840" ht="15.75" customHeight="1" s="71"/>
    <row r="841" ht="15.75" customHeight="1" s="71"/>
    <row r="842" ht="15.75" customHeight="1" s="71"/>
    <row r="843" ht="15.75" customHeight="1" s="71"/>
    <row r="844" ht="15.75" customHeight="1" s="71"/>
    <row r="845" ht="15.75" customHeight="1" s="71"/>
    <row r="846" ht="15.75" customHeight="1" s="71"/>
    <row r="847" ht="15.75" customHeight="1" s="71"/>
    <row r="848" ht="15.75" customHeight="1" s="71"/>
    <row r="849" ht="15.75" customHeight="1" s="71"/>
    <row r="850" ht="15.75" customHeight="1" s="71"/>
    <row r="851" ht="15.75" customHeight="1" s="71"/>
    <row r="852" ht="15.75" customHeight="1" s="71"/>
    <row r="853" ht="15.75" customHeight="1" s="71"/>
    <row r="854" ht="15.75" customHeight="1" s="71"/>
    <row r="855" ht="15.75" customHeight="1" s="71"/>
    <row r="856" ht="15.75" customHeight="1" s="71"/>
    <row r="857" ht="15.75" customHeight="1" s="71"/>
    <row r="858" ht="15.75" customHeight="1" s="71"/>
    <row r="859" ht="15.75" customHeight="1" s="71"/>
    <row r="860" ht="15.75" customHeight="1" s="71"/>
    <row r="861" ht="15.75" customHeight="1" s="71"/>
    <row r="862" ht="15.75" customHeight="1" s="71"/>
    <row r="863" ht="15.75" customHeight="1" s="71"/>
    <row r="864" ht="15.75" customHeight="1" s="71"/>
    <row r="865" ht="15.75" customHeight="1" s="71"/>
    <row r="866" ht="15.75" customHeight="1" s="71"/>
    <row r="867" ht="15.75" customHeight="1" s="71"/>
    <row r="868" ht="15.75" customHeight="1" s="71"/>
    <row r="869" ht="15.75" customHeight="1" s="71"/>
    <row r="870" ht="15.75" customHeight="1" s="71"/>
    <row r="871" ht="15.75" customHeight="1" s="71"/>
    <row r="872" ht="15.75" customHeight="1" s="71"/>
    <row r="873" ht="15.75" customHeight="1" s="71"/>
    <row r="874" ht="15.75" customHeight="1" s="71"/>
    <row r="875" ht="15.75" customHeight="1" s="71"/>
    <row r="876" ht="15.75" customHeight="1" s="71"/>
    <row r="877" ht="15.75" customHeight="1" s="71"/>
    <row r="878" ht="15.75" customHeight="1" s="71"/>
    <row r="879" ht="15.75" customHeight="1" s="71"/>
    <row r="880" ht="15.75" customHeight="1" s="71"/>
    <row r="881" ht="15.75" customHeight="1" s="71"/>
    <row r="882" ht="15.75" customHeight="1" s="71"/>
    <row r="883" ht="15.75" customHeight="1" s="71"/>
    <row r="884" ht="15.75" customHeight="1" s="71"/>
    <row r="885" ht="15.75" customHeight="1" s="71"/>
    <row r="886" ht="15.75" customHeight="1" s="71"/>
    <row r="887" ht="15.75" customHeight="1" s="71"/>
    <row r="888" ht="15.75" customHeight="1" s="71"/>
    <row r="889" ht="15.75" customHeight="1" s="71"/>
    <row r="890" ht="15.75" customHeight="1" s="71"/>
    <row r="891" ht="15.75" customHeight="1" s="71"/>
    <row r="892" ht="15.75" customHeight="1" s="71"/>
    <row r="893" ht="15.75" customHeight="1" s="71"/>
    <row r="894" ht="15.75" customHeight="1" s="71"/>
    <row r="895" ht="15.75" customHeight="1" s="71"/>
    <row r="896" ht="15.75" customHeight="1" s="71"/>
    <row r="897" ht="15.75" customHeight="1" s="71"/>
    <row r="898" ht="15.75" customHeight="1" s="71"/>
    <row r="899" ht="15.75" customHeight="1" s="71"/>
    <row r="900" ht="15.75" customHeight="1" s="71"/>
    <row r="901" ht="15.75" customHeight="1" s="71"/>
    <row r="902" ht="15.75" customHeight="1" s="71"/>
    <row r="903" ht="15.75" customHeight="1" s="71"/>
    <row r="904" ht="15.75" customHeight="1" s="71"/>
    <row r="905" ht="15.75" customHeight="1" s="71"/>
    <row r="906" ht="15.75" customHeight="1" s="71"/>
    <row r="907" ht="15.75" customHeight="1" s="71"/>
    <row r="908" ht="15.75" customHeight="1" s="71"/>
    <row r="909" ht="15.75" customHeight="1" s="71"/>
    <row r="910" ht="15.75" customHeight="1" s="71"/>
    <row r="911" ht="15.75" customHeight="1" s="71"/>
    <row r="912" ht="15.75" customHeight="1" s="71"/>
    <row r="913" ht="15.75" customHeight="1" s="71"/>
    <row r="914" ht="15.75" customHeight="1" s="71"/>
    <row r="915" ht="15.75" customHeight="1" s="71"/>
    <row r="916" ht="15.75" customHeight="1" s="71"/>
    <row r="917" ht="15.75" customHeight="1" s="71"/>
    <row r="918" ht="15.75" customHeight="1" s="71"/>
    <row r="919" ht="15.75" customHeight="1" s="71"/>
    <row r="920" ht="15.75" customHeight="1" s="71"/>
    <row r="921" ht="15.75" customHeight="1" s="71"/>
    <row r="922" ht="15.75" customHeight="1" s="71"/>
    <row r="923" ht="15.75" customHeight="1" s="71"/>
    <row r="924" ht="15.75" customHeight="1" s="71"/>
    <row r="925" ht="15.75" customHeight="1" s="71"/>
    <row r="926" ht="15.75" customHeight="1" s="71"/>
    <row r="927" ht="15.75" customHeight="1" s="71"/>
    <row r="928" ht="15.75" customHeight="1" s="71"/>
    <row r="929" ht="15.75" customHeight="1" s="71"/>
    <row r="930" ht="15.75" customHeight="1" s="71"/>
    <row r="931" ht="15.75" customHeight="1" s="71"/>
    <row r="932" ht="15.75" customHeight="1" s="71"/>
    <row r="933" ht="15.75" customHeight="1" s="71"/>
    <row r="934" ht="15.75" customHeight="1" s="71"/>
    <row r="935" ht="15.75" customHeight="1" s="71"/>
    <row r="936" ht="15.75" customHeight="1" s="71"/>
    <row r="937" ht="15.75" customHeight="1" s="71"/>
    <row r="938" ht="15.75" customHeight="1" s="71"/>
    <row r="939" ht="15.75" customHeight="1" s="71"/>
    <row r="940" ht="15.75" customHeight="1" s="71"/>
    <row r="941" ht="15.75" customHeight="1" s="71"/>
    <row r="942" ht="15.75" customHeight="1" s="71"/>
    <row r="943" ht="15.75" customHeight="1" s="71"/>
    <row r="944" ht="15.75" customHeight="1" s="71"/>
    <row r="945" ht="15.75" customHeight="1" s="71"/>
    <row r="946" ht="15.75" customHeight="1" s="71"/>
    <row r="947" ht="15.75" customHeight="1" s="71"/>
    <row r="948" ht="15.75" customHeight="1" s="71"/>
    <row r="949" ht="15.75" customHeight="1" s="71"/>
    <row r="950" ht="15.75" customHeight="1" s="71"/>
    <row r="951" ht="15.75" customHeight="1" s="71"/>
    <row r="952" ht="15.75" customHeight="1" s="71"/>
    <row r="953" ht="15.75" customHeight="1" s="71"/>
    <row r="954" ht="15.75" customHeight="1" s="71"/>
    <row r="955" ht="15.75" customHeight="1" s="71"/>
    <row r="956" ht="15.75" customHeight="1" s="71"/>
    <row r="957" ht="15.75" customHeight="1" s="71"/>
    <row r="958" ht="15.75" customHeight="1" s="71"/>
    <row r="959" ht="15.75" customHeight="1" s="71"/>
    <row r="960" ht="15.75" customHeight="1" s="71"/>
    <row r="961" ht="15.75" customHeight="1" s="71"/>
    <row r="962" ht="15.75" customHeight="1" s="71"/>
    <row r="963" ht="15.75" customHeight="1" s="71"/>
    <row r="964" ht="15.75" customHeight="1" s="71"/>
    <row r="965" ht="15.75" customHeight="1" s="71"/>
    <row r="966" ht="15.75" customHeight="1" s="71"/>
    <row r="967" ht="15.75" customHeight="1" s="71"/>
    <row r="968" ht="15.75" customHeight="1" s="71"/>
    <row r="969" ht="15.75" customHeight="1" s="71"/>
    <row r="970" ht="15.75" customHeight="1" s="71"/>
    <row r="971" ht="15.75" customHeight="1" s="71"/>
    <row r="972" ht="15.75" customHeight="1" s="71"/>
    <row r="973" ht="15.75" customHeight="1" s="71"/>
    <row r="974" ht="15.75" customHeight="1" s="71"/>
    <row r="975" ht="15.75" customHeight="1" s="71"/>
    <row r="976" ht="15.75" customHeight="1" s="71"/>
    <row r="977" ht="15.75" customHeight="1" s="71"/>
    <row r="978" ht="15.75" customHeight="1" s="71"/>
    <row r="979" ht="15.75" customHeight="1" s="71"/>
    <row r="980" ht="15.75" customHeight="1" s="71"/>
    <row r="981" ht="15.75" customHeight="1" s="71"/>
    <row r="982" ht="15.75" customHeight="1" s="71"/>
    <row r="983" ht="15.75" customHeight="1" s="71"/>
    <row r="984" ht="15.75" customHeight="1" s="71"/>
    <row r="985" ht="15.75" customHeight="1" s="71"/>
    <row r="986" ht="15.75" customHeight="1" s="71"/>
    <row r="987" ht="15.75" customHeight="1" s="71"/>
    <row r="988" ht="15.75" customHeight="1" s="71"/>
    <row r="989" ht="15.75" customHeight="1" s="71"/>
    <row r="990" ht="15.75" customHeight="1" s="71"/>
    <row r="991" ht="15.75" customHeight="1" s="71"/>
    <row r="992" ht="15.75" customHeight="1" s="71"/>
    <row r="993" ht="15.75" customHeight="1" s="71"/>
    <row r="994" ht="15.75" customHeight="1" s="71"/>
    <row r="995" ht="15.75" customHeight="1" s="71"/>
    <row r="996" ht="15.75" customHeight="1" s="71"/>
    <row r="997" ht="15.75" customHeight="1" s="71"/>
    <row r="998" ht="15.75" customHeight="1" s="71"/>
    <row r="999" ht="15.75" customHeight="1" s="71"/>
    <row r="1000" ht="15.75" customHeight="1" s="71"/>
  </sheetData>
  <mergeCells count="7">
    <mergeCell ref="B30:C30"/>
    <mergeCell ref="B21:C21"/>
    <mergeCell ref="B2:C2"/>
    <mergeCell ref="B5:C5"/>
    <mergeCell ref="B41:C41"/>
    <mergeCell ref="B27:C27"/>
    <mergeCell ref="B12:C12"/>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B2:H34"/>
  <sheetViews>
    <sheetView showGridLines="0" zoomScaleNormal="100" workbookViewId="0">
      <selection activeCell="A1" sqref="A1"/>
    </sheetView>
  </sheetViews>
  <sheetFormatPr baseColWidth="8" defaultColWidth="14.42578125" defaultRowHeight="15"/>
  <cols>
    <col width="2" customWidth="1" style="71" min="1" max="1"/>
    <col width="67.140625" customWidth="1" style="71" min="2" max="2"/>
    <col width="14" customWidth="1" style="71" min="3" max="7"/>
    <col width="16" customWidth="1" style="71" min="8" max="8"/>
    <col width="8.7109375" customWidth="1" style="71" min="9" max="26"/>
  </cols>
  <sheetData>
    <row r="2" ht="37.5" customHeight="1" s="71">
      <c r="B2" s="70" t="inlineStr">
        <is>
          <t xml:space="preserve">  Phase 1 — Progress</t>
        </is>
      </c>
    </row>
    <row r="3" ht="15" customHeight="1" s="71">
      <c r="B3" s="72" t="inlineStr">
        <is>
          <t>Everything on this sheet is a formula. Update the Task Tracker and these figures follow.</t>
        </is>
      </c>
    </row>
    <row r="5" ht="21.75" customHeight="1" s="71">
      <c r="B5" s="68" t="inlineStr">
        <is>
          <t>Overall</t>
        </is>
      </c>
      <c r="C5" s="69" t="n"/>
      <c r="D5" s="69" t="n"/>
      <c r="E5" s="69" t="n"/>
      <c r="F5" s="69" t="n"/>
      <c r="G5" s="69" t="n"/>
      <c r="H5" s="69" t="n"/>
    </row>
    <row r="6" ht="21.75" customHeight="1" s="71">
      <c r="B6" s="5" t="inlineStr">
        <is>
          <t>Measure</t>
        </is>
      </c>
      <c r="C6" s="5" t="inlineStr">
        <is>
          <t>Complete</t>
        </is>
      </c>
      <c r="D6" s="5" t="inlineStr">
        <is>
          <t>Total</t>
        </is>
      </c>
      <c r="E6" s="5" t="inlineStr">
        <is>
          <t>% complete</t>
        </is>
      </c>
    </row>
    <row r="7" ht="19.5" customHeight="1" s="71">
      <c r="B7" s="6" t="inlineStr">
        <is>
          <t>Tasks complete</t>
        </is>
      </c>
      <c r="C7" s="7">
        <f>COUNTIF('Task Tracker'!$F:$F,"Done")</f>
        <v/>
      </c>
      <c r="D7" s="7">
        <f>COUNT('Task Tracker'!$E:$E)</f>
        <v/>
      </c>
      <c r="E7" s="8">
        <f>IFERROR(C7/D7,0)</f>
        <v/>
      </c>
    </row>
    <row r="8" ht="19.5" customHeight="1" s="71">
      <c r="B8" s="6" t="inlineStr">
        <is>
          <t>Hours complete</t>
        </is>
      </c>
      <c r="C8" s="7">
        <f>SUMIF('Task Tracker'!$F:$F,"Done",'Task Tracker'!$E:$E)</f>
        <v/>
      </c>
      <c r="D8" s="7">
        <f>SUM('Task Tracker'!$E:$E)</f>
        <v/>
      </c>
      <c r="E8" s="8">
        <f>IFERROR(C8/D8,0)</f>
        <v/>
      </c>
    </row>
    <row r="9" ht="19.5" customHeight="1" s="71">
      <c r="B9" s="6" t="inlineStr">
        <is>
          <t>Modules fully complete</t>
        </is>
      </c>
      <c r="C9" s="7">
        <f>SUMPRODUCT(--(C25:C33=D25:D33))</f>
        <v/>
      </c>
      <c r="D9" s="7" t="n">
        <v>9</v>
      </c>
      <c r="E9" s="8">
        <f>IFERROR(C9/D9,0)</f>
        <v/>
      </c>
    </row>
    <row r="11" ht="21.75" customHeight="1" s="71">
      <c r="B11" s="68" t="inlineStr">
        <is>
          <t>Effort and status</t>
        </is>
      </c>
      <c r="C11" s="69" t="n"/>
      <c r="D11" s="69" t="n"/>
      <c r="E11" s="69" t="n"/>
      <c r="F11" s="69" t="n"/>
      <c r="G11" s="69" t="n"/>
      <c r="H11" s="69" t="n"/>
    </row>
    <row r="12" ht="19.5" customHeight="1" s="71">
      <c r="B12" s="9" t="inlineStr">
        <is>
          <t>Hours logged so far (sum of step hours)</t>
        </is>
      </c>
      <c r="C12" s="7">
        <f>SUM('Task Tracker'!$M:$M)</f>
        <v/>
      </c>
    </row>
    <row r="13" ht="19.5" customHeight="1" s="71">
      <c r="B13" s="9" t="inlineStr">
        <is>
          <t>Hours estimated for tasks with time logged</t>
        </is>
      </c>
      <c r="C13" s="7">
        <f>SUMIF('Task Tracker'!$G:$G,"&gt;0",'Task Tracker'!$E:$E)</f>
        <v/>
      </c>
    </row>
    <row r="14" ht="19.5" customHeight="1" s="71">
      <c r="B14" s="9" t="inlineStr">
        <is>
          <t>Difference (logged − estimated)</t>
        </is>
      </c>
      <c r="C14" s="7">
        <f>C12-C13</f>
        <v/>
      </c>
    </row>
    <row r="15" ht="19.5" customHeight="1" s="71">
      <c r="B15" s="9" t="inlineStr">
        <is>
          <t>Tasks in progress</t>
        </is>
      </c>
      <c r="C15" s="7">
        <f>COUNTIF('Task Tracker'!$F:$F,"In progress")</f>
        <v/>
      </c>
    </row>
    <row r="16" ht="19.5" customHeight="1" s="71">
      <c r="B16" s="9" t="inlineStr">
        <is>
          <t>Tasks blocked</t>
        </is>
      </c>
      <c r="C16" s="7">
        <f>COUNTIF('Task Tracker'!$F:$F,"Blocked")</f>
        <v/>
      </c>
    </row>
    <row r="17" ht="19.5" customHeight="1" s="71">
      <c r="B17" s="9" t="inlineStr">
        <is>
          <t>Tasks not started</t>
        </is>
      </c>
      <c r="C17" s="7">
        <f>COUNTIF('Task Tracker'!$F:$F,"Not started")</f>
        <v/>
      </c>
    </row>
    <row r="19" ht="21.75" customHeight="1" s="71">
      <c r="B19" s="68" t="inlineStr">
        <is>
          <t>Where you are now</t>
        </is>
      </c>
      <c r="C19" s="69" t="n"/>
      <c r="D19" s="69" t="n"/>
      <c r="E19" s="69" t="n"/>
      <c r="F19" s="69" t="n"/>
      <c r="G19" s="69" t="n"/>
      <c r="H19" s="69" t="n"/>
    </row>
    <row r="20" ht="19.5" customHeight="1" s="71">
      <c r="B20" s="9" t="inlineStr">
        <is>
          <t>Current task</t>
        </is>
      </c>
      <c r="C20" s="10">
        <f t="array" ref="C20">IFERROR(INDEX('Task Tracker'!$A:$A,MATCH("In progress",'Task Tracker'!$F:$F,0)),IFERROR(INDEX('Task Tracker'!$A:$A,MATCH("Not started",'Task Tracker'!$F:$F,0)),"All complete"))</f>
        <v/>
      </c>
      <c r="D20" s="11" t="n"/>
      <c r="E20" s="11" t="n"/>
      <c r="F20" s="11" t="n"/>
      <c r="G20" s="11" t="n"/>
      <c r="H20" s="11" t="n"/>
    </row>
    <row r="21" ht="19.5" customHeight="1" s="71">
      <c r="B21" s="9" t="inlineStr">
        <is>
          <t>Title</t>
        </is>
      </c>
      <c r="C21" s="73">
        <f t="array" ref="C21">IFERROR(INDEX('Task Tracker'!$C:$C,MATCH($C$20,'Task Tracker'!$A:$A,0)),"")</f>
        <v/>
      </c>
      <c r="D21" s="57" t="n"/>
      <c r="E21" s="57" t="n"/>
      <c r="F21" s="57" t="n"/>
      <c r="G21" s="57" t="n"/>
      <c r="H21" s="58" t="n"/>
    </row>
    <row r="22" ht="15.75" customHeight="1" s="71"/>
    <row r="23" ht="21.75" customHeight="1" s="71">
      <c r="B23" s="68" t="inlineStr">
        <is>
          <t>By module</t>
        </is>
      </c>
      <c r="C23" s="69" t="n"/>
      <c r="D23" s="69" t="n"/>
      <c r="E23" s="69" t="n"/>
      <c r="F23" s="69" t="n"/>
      <c r="G23" s="69" t="n"/>
      <c r="H23" s="69" t="n"/>
    </row>
    <row r="24" ht="21.75" customHeight="1" s="71">
      <c r="B24" s="5" t="inlineStr">
        <is>
          <t>Module</t>
        </is>
      </c>
      <c r="C24" s="5" t="inlineStr">
        <is>
          <t>Tasks done</t>
        </is>
      </c>
      <c r="D24" s="5" t="inlineStr">
        <is>
          <t>Tasks</t>
        </is>
      </c>
      <c r="E24" s="5" t="inlineStr">
        <is>
          <t>% tasks</t>
        </is>
      </c>
      <c r="F24" s="5" t="inlineStr">
        <is>
          <t>Hours done</t>
        </is>
      </c>
      <c r="G24" s="5" t="inlineStr">
        <is>
          <t>Hours</t>
        </is>
      </c>
      <c r="H24" s="5" t="inlineStr">
        <is>
          <t>% hours</t>
        </is>
      </c>
    </row>
    <row r="25" ht="19.5" customHeight="1" s="71">
      <c r="B25" s="9" t="inlineStr">
        <is>
          <t>0 · Landing Well</t>
        </is>
      </c>
      <c r="C25" s="7">
        <f>COUNTIFS('Task Tracker'!$B:$B,0,'Task Tracker'!$F:$F,"Done")</f>
        <v/>
      </c>
      <c r="D25" s="7" t="n">
        <v>6</v>
      </c>
      <c r="E25" s="8">
        <f>IFERROR(C25/D25,0)</f>
        <v/>
      </c>
      <c r="F25" s="7">
        <f>SUMIFS('Task Tracker'!$E:$E,'Task Tracker'!$B:$B,0,'Task Tracker'!$F:$F,"Done")</f>
        <v/>
      </c>
      <c r="G25" s="7" t="n">
        <v>16</v>
      </c>
      <c r="H25" s="8">
        <f>IFERROR(F25/G25,0)</f>
        <v/>
      </c>
    </row>
    <row r="26" ht="19.5" customHeight="1" s="71">
      <c r="B26" s="9" t="inlineStr">
        <is>
          <t>1 · Claude Foundations</t>
        </is>
      </c>
      <c r="C26" s="7">
        <f>COUNTIFS('Task Tracker'!$B:$B,1,'Task Tracker'!$F:$F,"Done")</f>
        <v/>
      </c>
      <c r="D26" s="7" t="n">
        <v>9</v>
      </c>
      <c r="E26" s="8">
        <f>IFERROR(C26/D26,0)</f>
        <v/>
      </c>
      <c r="F26" s="7">
        <f>SUMIFS('Task Tracker'!$E:$E,'Task Tracker'!$B:$B,1,'Task Tracker'!$F:$F,"Done")</f>
        <v/>
      </c>
      <c r="G26" s="7" t="n">
        <v>22</v>
      </c>
      <c r="H26" s="8">
        <f>IFERROR(F26/G26,0)</f>
        <v/>
      </c>
    </row>
    <row r="27" ht="19.5" customHeight="1" s="71">
      <c r="B27" s="9" t="inlineStr">
        <is>
          <t>2 · Discovery and Problem Definition</t>
        </is>
      </c>
      <c r="C27" s="7">
        <f>COUNTIFS('Task Tracker'!$B:$B,2,'Task Tracker'!$F:$F,"Done")</f>
        <v/>
      </c>
      <c r="D27" s="7" t="n">
        <v>7</v>
      </c>
      <c r="E27" s="8">
        <f>IFERROR(C27/D27,0)</f>
        <v/>
      </c>
      <c r="F27" s="7">
        <f>SUMIFS('Task Tracker'!$E:$E,'Task Tracker'!$B:$B,2,'Task Tracker'!$F:$F,"Done")</f>
        <v/>
      </c>
      <c r="G27" s="7" t="n">
        <v>20</v>
      </c>
      <c r="H27" s="8">
        <f>IFERROR(F27/G27,0)</f>
        <v/>
      </c>
    </row>
    <row r="28" ht="19.5" customHeight="1" s="71">
      <c r="B28" s="9" t="inlineStr">
        <is>
          <t>3 · Working with Designers</t>
        </is>
      </c>
      <c r="C28" s="7">
        <f>COUNTIFS('Task Tracker'!$B:$B,3,'Task Tracker'!$F:$F,"Done")</f>
        <v/>
      </c>
      <c r="D28" s="7" t="n">
        <v>3</v>
      </c>
      <c r="E28" s="8">
        <f>IFERROR(C28/D28,0)</f>
        <v/>
      </c>
      <c r="F28" s="7">
        <f>SUMIFS('Task Tracker'!$E:$E,'Task Tracker'!$B:$B,3,'Task Tracker'!$F:$F,"Done")</f>
        <v/>
      </c>
      <c r="G28" s="7" t="n">
        <v>8</v>
      </c>
      <c r="H28" s="8">
        <f>IFERROR(F28/G28,0)</f>
        <v/>
      </c>
    </row>
    <row r="29" ht="19.5" customHeight="1" s="71">
      <c r="B29" s="9" t="inlineStr">
        <is>
          <t>4 · From Idea to Screen</t>
        </is>
      </c>
      <c r="C29" s="7">
        <f>COUNTIFS('Task Tracker'!$B:$B,4,'Task Tracker'!$F:$F,"Done")</f>
        <v/>
      </c>
      <c r="D29" s="7" t="n">
        <v>10</v>
      </c>
      <c r="E29" s="8">
        <f>IFERROR(C29/D29,0)</f>
        <v/>
      </c>
      <c r="F29" s="7">
        <f>SUMIFS('Task Tracker'!$E:$E,'Task Tracker'!$B:$B,4,'Task Tracker'!$F:$F,"Done")</f>
        <v/>
      </c>
      <c r="G29" s="7" t="n">
        <v>31</v>
      </c>
      <c r="H29" s="8">
        <f>IFERROR(F29/G29,0)</f>
        <v/>
      </c>
    </row>
    <row r="30" ht="19.5" customHeight="1" s="71">
      <c r="B30" s="9" t="inlineStr">
        <is>
          <t>5 · Delivery</t>
        </is>
      </c>
      <c r="C30" s="7">
        <f>COUNTIFS('Task Tracker'!$B:$B,5,'Task Tracker'!$F:$F,"Done")</f>
        <v/>
      </c>
      <c r="D30" s="7" t="n">
        <v>13</v>
      </c>
      <c r="E30" s="8">
        <f>IFERROR(C30/D30,0)</f>
        <v/>
      </c>
      <c r="F30" s="7">
        <f>SUMIFS('Task Tracker'!$E:$E,'Task Tracker'!$B:$B,5,'Task Tracker'!$F:$F,"Done")</f>
        <v/>
      </c>
      <c r="G30" s="7" t="n">
        <v>40</v>
      </c>
      <c r="H30" s="8">
        <f>IFERROR(F30/G30,0)</f>
        <v/>
      </c>
    </row>
    <row r="31" ht="19.5" customHeight="1" s="71">
      <c r="B31" s="9" t="inlineStr">
        <is>
          <t>6 · Product Sense and AI Patterns</t>
        </is>
      </c>
      <c r="C31" s="7">
        <f>COUNTIFS('Task Tracker'!$B:$B,6,'Task Tracker'!$F:$F,"Done")</f>
        <v/>
      </c>
      <c r="D31" s="7" t="n">
        <v>10</v>
      </c>
      <c r="E31" s="8">
        <f>IFERROR(C31/D31,0)</f>
        <v/>
      </c>
      <c r="F31" s="7">
        <f>SUMIFS('Task Tracker'!$E:$E,'Task Tracker'!$B:$B,6,'Task Tracker'!$F:$F,"Done")</f>
        <v/>
      </c>
      <c r="G31" s="7" t="n">
        <v>32</v>
      </c>
      <c r="H31" s="8">
        <f>IFERROR(F31/G31,0)</f>
        <v/>
      </c>
    </row>
    <row r="32" ht="19.5" customHeight="1" s="71">
      <c r="B32" s="9" t="inlineStr">
        <is>
          <t>7 · Cowork and Scaling Yourself</t>
        </is>
      </c>
      <c r="C32" s="7">
        <f>COUNTIFS('Task Tracker'!$B:$B,7,'Task Tracker'!$F:$F,"Done")</f>
        <v/>
      </c>
      <c r="D32" s="7" t="n">
        <v>8</v>
      </c>
      <c r="E32" s="8">
        <f>IFERROR(C32/D32,0)</f>
        <v/>
      </c>
      <c r="F32" s="7">
        <f>SUMIFS('Task Tracker'!$E:$E,'Task Tracker'!$B:$B,7,'Task Tracker'!$F:$F,"Done")</f>
        <v/>
      </c>
      <c r="G32" s="7" t="n">
        <v>23</v>
      </c>
      <c r="H32" s="8">
        <f>IFERROR(F32/G32,0)</f>
        <v/>
      </c>
    </row>
    <row r="33" ht="19.5" customHeight="1" s="71">
      <c r="B33" s="9" t="inlineStr">
        <is>
          <t>8 · Capstone — Brief to Prototype</t>
        </is>
      </c>
      <c r="C33" s="7">
        <f>COUNTIFS('Task Tracker'!$B:$B,8,'Task Tracker'!$F:$F,"Done")</f>
        <v/>
      </c>
      <c r="D33" s="7" t="n">
        <v>10</v>
      </c>
      <c r="E33" s="8">
        <f>IFERROR(C33/D33,0)</f>
        <v/>
      </c>
      <c r="F33" s="7">
        <f>SUMIFS('Task Tracker'!$E:$E,'Task Tracker'!$B:$B,8,'Task Tracker'!$F:$F,"Done")</f>
        <v/>
      </c>
      <c r="G33" s="7" t="n">
        <v>33</v>
      </c>
      <c r="H33" s="8">
        <f>IFERROR(F33/G33,0)</f>
        <v/>
      </c>
    </row>
    <row r="34" ht="21.75" customHeight="1" s="71">
      <c r="B34" s="12" t="inlineStr">
        <is>
          <t>TOTAL</t>
        </is>
      </c>
      <c r="C34" s="13">
        <f>SUM(C25:C33)</f>
        <v/>
      </c>
      <c r="D34" s="13">
        <f>SUM(D25:D33)</f>
        <v/>
      </c>
      <c r="E34" s="14">
        <f>IFERROR(C34/D34,0)</f>
        <v/>
      </c>
      <c r="F34" s="13">
        <f>SUM(F25:F33)</f>
        <v/>
      </c>
      <c r="G34" s="13">
        <f>SUM(G25:G33)</f>
        <v/>
      </c>
      <c r="H34" s="14">
        <f>IFERROR(F34/G34,0)</f>
        <v/>
      </c>
    </row>
    <row r="35" ht="15.75" customHeight="1" s="71"/>
    <row r="36" ht="15.75" customHeight="1" s="71"/>
    <row r="37" ht="15.75" customHeight="1" s="71"/>
    <row r="38" ht="15.75" customHeight="1" s="71"/>
    <row r="39" ht="15.75" customHeight="1" s="71"/>
    <row r="40" ht="15.75" customHeight="1" s="71"/>
    <row r="41" ht="15.75" customHeight="1" s="71"/>
    <row r="42" ht="15.75" customHeight="1" s="71"/>
    <row r="43" ht="15.75" customHeight="1" s="71"/>
    <row r="44" ht="15.75" customHeight="1" s="71"/>
    <row r="45" ht="15.75" customHeight="1" s="71"/>
    <row r="46" ht="15.75" customHeight="1" s="71"/>
    <row r="47" ht="15.75" customHeight="1" s="71"/>
    <row r="48" ht="15.75" customHeight="1" s="71"/>
    <row r="49" ht="15.75" customHeight="1" s="71"/>
    <row r="50" ht="15.75" customHeight="1" s="71"/>
    <row r="51" ht="15.75" customHeight="1" s="71"/>
    <row r="52" ht="15.75" customHeight="1" s="71"/>
    <row r="53" ht="15.75" customHeight="1" s="71"/>
    <row r="54" ht="15.75" customHeight="1" s="71"/>
    <row r="55" ht="15.75" customHeight="1" s="71"/>
    <row r="56" ht="15.75" customHeight="1" s="71"/>
    <row r="57" ht="15.75" customHeight="1" s="71"/>
    <row r="58" ht="15.75" customHeight="1" s="71"/>
    <row r="59" ht="15.75" customHeight="1" s="71"/>
    <row r="60" ht="15.75" customHeight="1" s="71"/>
    <row r="61" ht="15.75" customHeight="1" s="71"/>
    <row r="62" ht="15.75" customHeight="1" s="71"/>
    <row r="63" ht="15.75" customHeight="1" s="71"/>
    <row r="64" ht="15.75" customHeight="1" s="71"/>
    <row r="65" ht="15.75" customHeight="1" s="71"/>
    <row r="66" ht="15.75" customHeight="1" s="71"/>
    <row r="67" ht="15.75" customHeight="1" s="71"/>
    <row r="68" ht="15.75" customHeight="1" s="71"/>
    <row r="69" ht="15.75" customHeight="1" s="71"/>
    <row r="70" ht="15.75" customHeight="1" s="71"/>
    <row r="71" ht="15.75" customHeight="1" s="71"/>
    <row r="72" ht="15.75" customHeight="1" s="71"/>
    <row r="73" ht="15.75" customHeight="1" s="71"/>
    <row r="74" ht="15.75" customHeight="1" s="71"/>
    <row r="75" ht="15.75" customHeight="1" s="71"/>
    <row r="76" ht="15.75" customHeight="1" s="71"/>
    <row r="77" ht="15.75" customHeight="1" s="71"/>
    <row r="78" ht="15.75" customHeight="1" s="71"/>
    <row r="79" ht="15.75" customHeight="1" s="71"/>
    <row r="80" ht="15.75" customHeight="1" s="71"/>
    <row r="81" ht="15.75" customHeight="1" s="71"/>
    <row r="82" ht="15.75" customHeight="1" s="71"/>
    <row r="83" ht="15.75" customHeight="1" s="71"/>
    <row r="84" ht="15.75" customHeight="1" s="71"/>
    <row r="85" ht="15.75" customHeight="1" s="71"/>
    <row r="86" ht="15.75" customHeight="1" s="71"/>
    <row r="87" ht="15.75" customHeight="1" s="71"/>
    <row r="88" ht="15.75" customHeight="1" s="71"/>
    <row r="89" ht="15.75" customHeight="1" s="71"/>
    <row r="90" ht="15.75" customHeight="1" s="71"/>
    <row r="91" ht="15.75" customHeight="1" s="71"/>
    <row r="92" ht="15.75" customHeight="1" s="71"/>
    <row r="93" ht="15.75" customHeight="1" s="71"/>
    <row r="94" ht="15.75" customHeight="1" s="71"/>
    <row r="95" ht="15.75" customHeight="1" s="71"/>
    <row r="96" ht="15.75" customHeight="1" s="71"/>
    <row r="97" ht="15.75" customHeight="1" s="71"/>
    <row r="98" ht="15.75" customHeight="1" s="71"/>
    <row r="99" ht="15.75" customHeight="1" s="71"/>
    <row r="100" ht="15.75" customHeight="1" s="71"/>
    <row r="101" ht="15.75" customHeight="1" s="71"/>
    <row r="102" ht="15.75" customHeight="1" s="71"/>
    <row r="103" ht="15.75" customHeight="1" s="71"/>
    <row r="104" ht="15.75" customHeight="1" s="71"/>
    <row r="105" ht="15.75" customHeight="1" s="71"/>
    <row r="106" ht="15.75" customHeight="1" s="71"/>
    <row r="107" ht="15.75" customHeight="1" s="71"/>
    <row r="108" ht="15.75" customHeight="1" s="71"/>
    <row r="109" ht="15.75" customHeight="1" s="71"/>
    <row r="110" ht="15.75" customHeight="1" s="71"/>
    <row r="111" ht="15.75" customHeight="1" s="71"/>
    <row r="112" ht="15.75" customHeight="1" s="71"/>
    <row r="113" ht="15.75" customHeight="1" s="71"/>
    <row r="114" ht="15.75" customHeight="1" s="71"/>
    <row r="115" ht="15.75" customHeight="1" s="71"/>
    <row r="116" ht="15.75" customHeight="1" s="71"/>
    <row r="117" ht="15.75" customHeight="1" s="71"/>
    <row r="118" ht="15.75" customHeight="1" s="71"/>
    <row r="119" ht="15.75" customHeight="1" s="71"/>
    <row r="120" ht="15.75" customHeight="1" s="71"/>
    <row r="121" ht="15.75" customHeight="1" s="71"/>
    <row r="122" ht="15.75" customHeight="1" s="71"/>
    <row r="123" ht="15.75" customHeight="1" s="71"/>
    <row r="124" ht="15.75" customHeight="1" s="71"/>
    <row r="125" ht="15.75" customHeight="1" s="71"/>
    <row r="126" ht="15.75" customHeight="1" s="71"/>
    <row r="127" ht="15.75" customHeight="1" s="71"/>
    <row r="128" ht="15.75" customHeight="1" s="71"/>
    <row r="129" ht="15.75" customHeight="1" s="71"/>
    <row r="130" ht="15.75" customHeight="1" s="71"/>
    <row r="131" ht="15.75" customHeight="1" s="71"/>
    <row r="132" ht="15.75" customHeight="1" s="71"/>
    <row r="133" ht="15.75" customHeight="1" s="71"/>
    <row r="134" ht="15.75" customHeight="1" s="71"/>
    <row r="135" ht="15.75" customHeight="1" s="71"/>
    <row r="136" ht="15.75" customHeight="1" s="71"/>
    <row r="137" ht="15.75" customHeight="1" s="71"/>
    <row r="138" ht="15.75" customHeight="1" s="71"/>
    <row r="139" ht="15.75" customHeight="1" s="71"/>
    <row r="140" ht="15.75" customHeight="1" s="71"/>
    <row r="141" ht="15.75" customHeight="1" s="71"/>
    <row r="142" ht="15.75" customHeight="1" s="71"/>
    <row r="143" ht="15.75" customHeight="1" s="71"/>
    <row r="144" ht="15.75" customHeight="1" s="71"/>
    <row r="145" ht="15.75" customHeight="1" s="71"/>
    <row r="146" ht="15.75" customHeight="1" s="71"/>
    <row r="147" ht="15.75" customHeight="1" s="71"/>
    <row r="148" ht="15.75" customHeight="1" s="71"/>
    <row r="149" ht="15.75" customHeight="1" s="71"/>
    <row r="150" ht="15.75" customHeight="1" s="71"/>
    <row r="151" ht="15.75" customHeight="1" s="71"/>
    <row r="152" ht="15.75" customHeight="1" s="71"/>
    <row r="153" ht="15.75" customHeight="1" s="71"/>
    <row r="154" ht="15.75" customHeight="1" s="71"/>
    <row r="155" ht="15.75" customHeight="1" s="71"/>
    <row r="156" ht="15.75" customHeight="1" s="71"/>
    <row r="157" ht="15.75" customHeight="1" s="71"/>
    <row r="158" ht="15.75" customHeight="1" s="71"/>
    <row r="159" ht="15.75" customHeight="1" s="71"/>
    <row r="160" ht="15.75" customHeight="1" s="71"/>
    <row r="161" ht="15.75" customHeight="1" s="71"/>
    <row r="162" ht="15.75" customHeight="1" s="71"/>
    <row r="163" ht="15.75" customHeight="1" s="71"/>
    <row r="164" ht="15.75" customHeight="1" s="71"/>
    <row r="165" ht="15.75" customHeight="1" s="71"/>
    <row r="166" ht="15.75" customHeight="1" s="71"/>
    <row r="167" ht="15.75" customHeight="1" s="71"/>
    <row r="168" ht="15.75" customHeight="1" s="71"/>
    <row r="169" ht="15.75" customHeight="1" s="71"/>
    <row r="170" ht="15.75" customHeight="1" s="71"/>
    <row r="171" ht="15.75" customHeight="1" s="71"/>
    <row r="172" ht="15.75" customHeight="1" s="71"/>
    <row r="173" ht="15.75" customHeight="1" s="71"/>
    <row r="174" ht="15.75" customHeight="1" s="71"/>
    <row r="175" ht="15.75" customHeight="1" s="71"/>
    <row r="176" ht="15.75" customHeight="1" s="71"/>
    <row r="177" ht="15.75" customHeight="1" s="71"/>
    <row r="178" ht="15.75" customHeight="1" s="71"/>
    <row r="179" ht="15.75" customHeight="1" s="71"/>
    <row r="180" ht="15.75" customHeight="1" s="71"/>
    <row r="181" ht="15.75" customHeight="1" s="71"/>
    <row r="182" ht="15.75" customHeight="1" s="71"/>
    <row r="183" ht="15.75" customHeight="1" s="71"/>
    <row r="184" ht="15.75" customHeight="1" s="71"/>
    <row r="185" ht="15.75" customHeight="1" s="71"/>
    <row r="186" ht="15.75" customHeight="1" s="71"/>
    <row r="187" ht="15.75" customHeight="1" s="71"/>
    <row r="188" ht="15.75" customHeight="1" s="71"/>
    <row r="189" ht="15.75" customHeight="1" s="71"/>
    <row r="190" ht="15.75" customHeight="1" s="71"/>
    <row r="191" ht="15.75" customHeight="1" s="71"/>
    <row r="192" ht="15.75" customHeight="1" s="71"/>
    <row r="193" ht="15.75" customHeight="1" s="71"/>
    <row r="194" ht="15.75" customHeight="1" s="71"/>
    <row r="195" ht="15.75" customHeight="1" s="71"/>
    <row r="196" ht="15.75" customHeight="1" s="71"/>
    <row r="197" ht="15.75" customHeight="1" s="71"/>
    <row r="198" ht="15.75" customHeight="1" s="71"/>
    <row r="199" ht="15.75" customHeight="1" s="71"/>
    <row r="200" ht="15.75" customHeight="1" s="71"/>
    <row r="201" ht="15.75" customHeight="1" s="71"/>
    <row r="202" ht="15.75" customHeight="1" s="71"/>
    <row r="203" ht="15.75" customHeight="1" s="71"/>
    <row r="204" ht="15.75" customHeight="1" s="71"/>
    <row r="205" ht="15.75" customHeight="1" s="71"/>
    <row r="206" ht="15.75" customHeight="1" s="71"/>
    <row r="207" ht="15.75" customHeight="1" s="71"/>
    <row r="208" ht="15.75" customHeight="1" s="71"/>
    <row r="209" ht="15.75" customHeight="1" s="71"/>
    <row r="210" ht="15.75" customHeight="1" s="71"/>
    <row r="211" ht="15.75" customHeight="1" s="71"/>
    <row r="212" ht="15.75" customHeight="1" s="71"/>
    <row r="213" ht="15.75" customHeight="1" s="71"/>
    <row r="214" ht="15.75" customHeight="1" s="71"/>
    <row r="215" ht="15.75" customHeight="1" s="71"/>
    <row r="216" ht="15.75" customHeight="1" s="71"/>
    <row r="217" ht="15.75" customHeight="1" s="71"/>
    <row r="218" ht="15.75" customHeight="1" s="71"/>
    <row r="219" ht="15.75" customHeight="1" s="71"/>
    <row r="220" ht="15.75" customHeight="1" s="71"/>
    <row r="221" ht="15.75" customHeight="1" s="71"/>
    <row r="222" ht="15.75" customHeight="1" s="71"/>
    <row r="223" ht="15.75" customHeight="1" s="71"/>
    <row r="224" ht="15.75" customHeight="1" s="71"/>
    <row r="225" ht="15.75" customHeight="1" s="71"/>
    <row r="226" ht="15.75" customHeight="1" s="71"/>
    <row r="227" ht="15.75" customHeight="1" s="71"/>
    <row r="228" ht="15.75" customHeight="1" s="71"/>
    <row r="229" ht="15.75" customHeight="1" s="71"/>
    <row r="230" ht="15.75" customHeight="1" s="71"/>
    <row r="231" ht="15.75" customHeight="1" s="71"/>
    <row r="232" ht="15.75" customHeight="1" s="71"/>
    <row r="233" ht="15.75" customHeight="1" s="71"/>
    <row r="234" ht="15.75" customHeight="1" s="71"/>
    <row r="235" ht="15.75" customHeight="1" s="71"/>
    <row r="236" ht="15.75" customHeight="1" s="71"/>
    <row r="237" ht="15.75" customHeight="1" s="71"/>
    <row r="238" ht="15.75" customHeight="1" s="71"/>
    <row r="239" ht="15.75" customHeight="1" s="71"/>
    <row r="240" ht="15.75" customHeight="1" s="71"/>
    <row r="241" ht="15.75" customHeight="1" s="71"/>
    <row r="242" ht="15.75" customHeight="1" s="71"/>
    <row r="243" ht="15.75" customHeight="1" s="71"/>
    <row r="244" ht="15.75" customHeight="1" s="71"/>
    <row r="245" ht="15.75" customHeight="1" s="71"/>
    <row r="246" ht="15.75" customHeight="1" s="71"/>
    <row r="247" ht="15.75" customHeight="1" s="71"/>
    <row r="248" ht="15.75" customHeight="1" s="71"/>
    <row r="249" ht="15.75" customHeight="1" s="71"/>
    <row r="250" ht="15.75" customHeight="1" s="71"/>
    <row r="251" ht="15.75" customHeight="1" s="71"/>
    <row r="252" ht="15.75" customHeight="1" s="71"/>
    <row r="253" ht="15.75" customHeight="1" s="71"/>
    <row r="254" ht="15.75" customHeight="1" s="71"/>
    <row r="255" ht="15.75" customHeight="1" s="71"/>
    <row r="256" ht="15.75" customHeight="1" s="71"/>
    <row r="257" ht="15.75" customHeight="1" s="71"/>
    <row r="258" ht="15.75" customHeight="1" s="71"/>
    <row r="259" ht="15.75" customHeight="1" s="71"/>
    <row r="260" ht="15.75" customHeight="1" s="71"/>
    <row r="261" ht="15.75" customHeight="1" s="71"/>
    <row r="262" ht="15.75" customHeight="1" s="71"/>
    <row r="263" ht="15.75" customHeight="1" s="71"/>
    <row r="264" ht="15.75" customHeight="1" s="71"/>
    <row r="265" ht="15.75" customHeight="1" s="71"/>
    <row r="266" ht="15.75" customHeight="1" s="71"/>
    <row r="267" ht="15.75" customHeight="1" s="71"/>
    <row r="268" ht="15.75" customHeight="1" s="71"/>
    <row r="269" ht="15.75" customHeight="1" s="71"/>
    <row r="270" ht="15.75" customHeight="1" s="71"/>
    <row r="271" ht="15.75" customHeight="1" s="71"/>
    <row r="272" ht="15.75" customHeight="1" s="71"/>
    <row r="273" ht="15.75" customHeight="1" s="71"/>
    <row r="274" ht="15.75" customHeight="1" s="71"/>
    <row r="275" ht="15.75" customHeight="1" s="71"/>
    <row r="276" ht="15.75" customHeight="1" s="71"/>
    <row r="277" ht="15.75" customHeight="1" s="71"/>
    <row r="278" ht="15.75" customHeight="1" s="71"/>
    <row r="279" ht="15.75" customHeight="1" s="71"/>
    <row r="280" ht="15.75" customHeight="1" s="71"/>
    <row r="281" ht="15.75" customHeight="1" s="71"/>
    <row r="282" ht="15.75" customHeight="1" s="71"/>
    <row r="283" ht="15.75" customHeight="1" s="71"/>
    <row r="284" ht="15.75" customHeight="1" s="71"/>
    <row r="285" ht="15.75" customHeight="1" s="71"/>
    <row r="286" ht="15.75" customHeight="1" s="71"/>
    <row r="287" ht="15.75" customHeight="1" s="71"/>
    <row r="288" ht="15.75" customHeight="1" s="71"/>
    <row r="289" ht="15.75" customHeight="1" s="71"/>
    <row r="290" ht="15.75" customHeight="1" s="71"/>
    <row r="291" ht="15.75" customHeight="1" s="71"/>
    <row r="292" ht="15.75" customHeight="1" s="71"/>
    <row r="293" ht="15.75" customHeight="1" s="71"/>
    <row r="294" ht="15.75" customHeight="1" s="71"/>
    <row r="295" ht="15.75" customHeight="1" s="71"/>
    <row r="296" ht="15.75" customHeight="1" s="71"/>
    <row r="297" ht="15.75" customHeight="1" s="71"/>
    <row r="298" ht="15.75" customHeight="1" s="71"/>
    <row r="299" ht="15.75" customHeight="1" s="71"/>
    <row r="300" ht="15.75" customHeight="1" s="71"/>
    <row r="301" ht="15.75" customHeight="1" s="71"/>
    <row r="302" ht="15.75" customHeight="1" s="71"/>
    <row r="303" ht="15.75" customHeight="1" s="71"/>
    <row r="304" ht="15.75" customHeight="1" s="71"/>
    <row r="305" ht="15.75" customHeight="1" s="71"/>
    <row r="306" ht="15.75" customHeight="1" s="71"/>
    <row r="307" ht="15.75" customHeight="1" s="71"/>
    <row r="308" ht="15.75" customHeight="1" s="71"/>
    <row r="309" ht="15.75" customHeight="1" s="71"/>
    <row r="310" ht="15.75" customHeight="1" s="71"/>
    <row r="311" ht="15.75" customHeight="1" s="71"/>
    <row r="312" ht="15.75" customHeight="1" s="71"/>
    <row r="313" ht="15.75" customHeight="1" s="71"/>
    <row r="314" ht="15.75" customHeight="1" s="71"/>
    <row r="315" ht="15.75" customHeight="1" s="71"/>
    <row r="316" ht="15.75" customHeight="1" s="71"/>
    <row r="317" ht="15.75" customHeight="1" s="71"/>
    <row r="318" ht="15.75" customHeight="1" s="71"/>
    <row r="319" ht="15.75" customHeight="1" s="71"/>
    <row r="320" ht="15.75" customHeight="1" s="71"/>
    <row r="321" ht="15.75" customHeight="1" s="71"/>
    <row r="322" ht="15.75" customHeight="1" s="71"/>
    <row r="323" ht="15.75" customHeight="1" s="71"/>
    <row r="324" ht="15.75" customHeight="1" s="71"/>
    <row r="325" ht="15.75" customHeight="1" s="71"/>
    <row r="326" ht="15.75" customHeight="1" s="71"/>
    <row r="327" ht="15.75" customHeight="1" s="71"/>
    <row r="328" ht="15.75" customHeight="1" s="71"/>
    <row r="329" ht="15.75" customHeight="1" s="71"/>
    <row r="330" ht="15.75" customHeight="1" s="71"/>
    <row r="331" ht="15.75" customHeight="1" s="71"/>
    <row r="332" ht="15.75" customHeight="1" s="71"/>
    <row r="333" ht="15.75" customHeight="1" s="71"/>
    <row r="334" ht="15.75" customHeight="1" s="71"/>
    <row r="335" ht="15.75" customHeight="1" s="71"/>
    <row r="336" ht="15.75" customHeight="1" s="71"/>
    <row r="337" ht="15.75" customHeight="1" s="71"/>
    <row r="338" ht="15.75" customHeight="1" s="71"/>
    <row r="339" ht="15.75" customHeight="1" s="71"/>
    <row r="340" ht="15.75" customHeight="1" s="71"/>
    <row r="341" ht="15.75" customHeight="1" s="71"/>
    <row r="342" ht="15.75" customHeight="1" s="71"/>
    <row r="343" ht="15.75" customHeight="1" s="71"/>
    <row r="344" ht="15.75" customHeight="1" s="71"/>
    <row r="345" ht="15.75" customHeight="1" s="71"/>
    <row r="346" ht="15.75" customHeight="1" s="71"/>
    <row r="347" ht="15.75" customHeight="1" s="71"/>
    <row r="348" ht="15.75" customHeight="1" s="71"/>
    <row r="349" ht="15.75" customHeight="1" s="71"/>
    <row r="350" ht="15.75" customHeight="1" s="71"/>
    <row r="351" ht="15.75" customHeight="1" s="71"/>
    <row r="352" ht="15.75" customHeight="1" s="71"/>
    <row r="353" ht="15.75" customHeight="1" s="71"/>
    <row r="354" ht="15.75" customHeight="1" s="71"/>
    <row r="355" ht="15.75" customHeight="1" s="71"/>
    <row r="356" ht="15.75" customHeight="1" s="71"/>
    <row r="357" ht="15.75" customHeight="1" s="71"/>
    <row r="358" ht="15.75" customHeight="1" s="71"/>
    <row r="359" ht="15.75" customHeight="1" s="71"/>
    <row r="360" ht="15.75" customHeight="1" s="71"/>
    <row r="361" ht="15.75" customHeight="1" s="71"/>
    <row r="362" ht="15.75" customHeight="1" s="71"/>
    <row r="363" ht="15.75" customHeight="1" s="71"/>
    <row r="364" ht="15.75" customHeight="1" s="71"/>
    <row r="365" ht="15.75" customHeight="1" s="71"/>
    <row r="366" ht="15.75" customHeight="1" s="71"/>
    <row r="367" ht="15.75" customHeight="1" s="71"/>
    <row r="368" ht="15.75" customHeight="1" s="71"/>
    <row r="369" ht="15.75" customHeight="1" s="71"/>
    <row r="370" ht="15.75" customHeight="1" s="71"/>
    <row r="371" ht="15.75" customHeight="1" s="71"/>
    <row r="372" ht="15.75" customHeight="1" s="71"/>
    <row r="373" ht="15.75" customHeight="1" s="71"/>
    <row r="374" ht="15.75" customHeight="1" s="71"/>
    <row r="375" ht="15.75" customHeight="1" s="71"/>
    <row r="376" ht="15.75" customHeight="1" s="71"/>
    <row r="377" ht="15.75" customHeight="1" s="71"/>
    <row r="378" ht="15.75" customHeight="1" s="71"/>
    <row r="379" ht="15.75" customHeight="1" s="71"/>
    <row r="380" ht="15.75" customHeight="1" s="71"/>
    <row r="381" ht="15.75" customHeight="1" s="71"/>
    <row r="382" ht="15.75" customHeight="1" s="71"/>
    <row r="383" ht="15.75" customHeight="1" s="71"/>
    <row r="384" ht="15.75" customHeight="1" s="71"/>
    <row r="385" ht="15.75" customHeight="1" s="71"/>
    <row r="386" ht="15.75" customHeight="1" s="71"/>
    <row r="387" ht="15.75" customHeight="1" s="71"/>
    <row r="388" ht="15.75" customHeight="1" s="71"/>
    <row r="389" ht="15.75" customHeight="1" s="71"/>
    <row r="390" ht="15.75" customHeight="1" s="71"/>
    <row r="391" ht="15.75" customHeight="1" s="71"/>
    <row r="392" ht="15.75" customHeight="1" s="71"/>
    <row r="393" ht="15.75" customHeight="1" s="71"/>
    <row r="394" ht="15.75" customHeight="1" s="71"/>
    <row r="395" ht="15.75" customHeight="1" s="71"/>
    <row r="396" ht="15.75" customHeight="1" s="71"/>
    <row r="397" ht="15.75" customHeight="1" s="71"/>
    <row r="398" ht="15.75" customHeight="1" s="71"/>
    <row r="399" ht="15.75" customHeight="1" s="71"/>
    <row r="400" ht="15.75" customHeight="1" s="71"/>
    <row r="401" ht="15.75" customHeight="1" s="71"/>
    <row r="402" ht="15.75" customHeight="1" s="71"/>
    <row r="403" ht="15.75" customHeight="1" s="71"/>
    <row r="404" ht="15.75" customHeight="1" s="71"/>
    <row r="405" ht="15.75" customHeight="1" s="71"/>
    <row r="406" ht="15.75" customHeight="1" s="71"/>
    <row r="407" ht="15.75" customHeight="1" s="71"/>
    <row r="408" ht="15.75" customHeight="1" s="71"/>
    <row r="409" ht="15.75" customHeight="1" s="71"/>
    <row r="410" ht="15.75" customHeight="1" s="71"/>
    <row r="411" ht="15.75" customHeight="1" s="71"/>
    <row r="412" ht="15.75" customHeight="1" s="71"/>
    <row r="413" ht="15.75" customHeight="1" s="71"/>
    <row r="414" ht="15.75" customHeight="1" s="71"/>
    <row r="415" ht="15.75" customHeight="1" s="71"/>
    <row r="416" ht="15.75" customHeight="1" s="71"/>
    <row r="417" ht="15.75" customHeight="1" s="71"/>
    <row r="418" ht="15.75" customHeight="1" s="71"/>
    <row r="419" ht="15.75" customHeight="1" s="71"/>
    <row r="420" ht="15.75" customHeight="1" s="71"/>
    <row r="421" ht="15.75" customHeight="1" s="71"/>
    <row r="422" ht="15.75" customHeight="1" s="71"/>
    <row r="423" ht="15.75" customHeight="1" s="71"/>
    <row r="424" ht="15.75" customHeight="1" s="71"/>
    <row r="425" ht="15.75" customHeight="1" s="71"/>
    <row r="426" ht="15.75" customHeight="1" s="71"/>
    <row r="427" ht="15.75" customHeight="1" s="71"/>
    <row r="428" ht="15.75" customHeight="1" s="71"/>
    <row r="429" ht="15.75" customHeight="1" s="71"/>
    <row r="430" ht="15.75" customHeight="1" s="71"/>
    <row r="431" ht="15.75" customHeight="1" s="71"/>
    <row r="432" ht="15.75" customHeight="1" s="71"/>
    <row r="433" ht="15.75" customHeight="1" s="71"/>
    <row r="434" ht="15.75" customHeight="1" s="71"/>
    <row r="435" ht="15.75" customHeight="1" s="71"/>
    <row r="436" ht="15.75" customHeight="1" s="71"/>
    <row r="437" ht="15.75" customHeight="1" s="71"/>
    <row r="438" ht="15.75" customHeight="1" s="71"/>
    <row r="439" ht="15.75" customHeight="1" s="71"/>
    <row r="440" ht="15.75" customHeight="1" s="71"/>
    <row r="441" ht="15.75" customHeight="1" s="71"/>
    <row r="442" ht="15.75" customHeight="1" s="71"/>
    <row r="443" ht="15.75" customHeight="1" s="71"/>
    <row r="444" ht="15.75" customHeight="1" s="71"/>
    <row r="445" ht="15.75" customHeight="1" s="71"/>
    <row r="446" ht="15.75" customHeight="1" s="71"/>
    <row r="447" ht="15.75" customHeight="1" s="71"/>
    <row r="448" ht="15.75" customHeight="1" s="71"/>
    <row r="449" ht="15.75" customHeight="1" s="71"/>
    <row r="450" ht="15.75" customHeight="1" s="71"/>
    <row r="451" ht="15.75" customHeight="1" s="71"/>
    <row r="452" ht="15.75" customHeight="1" s="71"/>
    <row r="453" ht="15.75" customHeight="1" s="71"/>
    <row r="454" ht="15.75" customHeight="1" s="71"/>
    <row r="455" ht="15.75" customHeight="1" s="71"/>
    <row r="456" ht="15.75" customHeight="1" s="71"/>
    <row r="457" ht="15.75" customHeight="1" s="71"/>
    <row r="458" ht="15.75" customHeight="1" s="71"/>
    <row r="459" ht="15.75" customHeight="1" s="71"/>
    <row r="460" ht="15.75" customHeight="1" s="71"/>
    <row r="461" ht="15.75" customHeight="1" s="71"/>
    <row r="462" ht="15.75" customHeight="1" s="71"/>
    <row r="463" ht="15.75" customHeight="1" s="71"/>
    <row r="464" ht="15.75" customHeight="1" s="71"/>
    <row r="465" ht="15.75" customHeight="1" s="71"/>
    <row r="466" ht="15.75" customHeight="1" s="71"/>
    <row r="467" ht="15.75" customHeight="1" s="71"/>
    <row r="468" ht="15.75" customHeight="1" s="71"/>
    <row r="469" ht="15.75" customHeight="1" s="71"/>
    <row r="470" ht="15.75" customHeight="1" s="71"/>
    <row r="471" ht="15.75" customHeight="1" s="71"/>
    <row r="472" ht="15.75" customHeight="1" s="71"/>
    <row r="473" ht="15.75" customHeight="1" s="71"/>
    <row r="474" ht="15.75" customHeight="1" s="71"/>
    <row r="475" ht="15.75" customHeight="1" s="71"/>
    <row r="476" ht="15.75" customHeight="1" s="71"/>
    <row r="477" ht="15.75" customHeight="1" s="71"/>
    <row r="478" ht="15.75" customHeight="1" s="71"/>
    <row r="479" ht="15.75" customHeight="1" s="71"/>
    <row r="480" ht="15.75" customHeight="1" s="71"/>
    <row r="481" ht="15.75" customHeight="1" s="71"/>
    <row r="482" ht="15.75" customHeight="1" s="71"/>
    <row r="483" ht="15.75" customHeight="1" s="71"/>
    <row r="484" ht="15.75" customHeight="1" s="71"/>
    <row r="485" ht="15.75" customHeight="1" s="71"/>
    <row r="486" ht="15.75" customHeight="1" s="71"/>
    <row r="487" ht="15.75" customHeight="1" s="71"/>
    <row r="488" ht="15.75" customHeight="1" s="71"/>
    <row r="489" ht="15.75" customHeight="1" s="71"/>
    <row r="490" ht="15.75" customHeight="1" s="71"/>
    <row r="491" ht="15.75" customHeight="1" s="71"/>
    <row r="492" ht="15.75" customHeight="1" s="71"/>
    <row r="493" ht="15.75" customHeight="1" s="71"/>
    <row r="494" ht="15.75" customHeight="1" s="71"/>
    <row r="495" ht="15.75" customHeight="1" s="71"/>
    <row r="496" ht="15.75" customHeight="1" s="71"/>
    <row r="497" ht="15.75" customHeight="1" s="71"/>
    <row r="498" ht="15.75" customHeight="1" s="71"/>
    <row r="499" ht="15.75" customHeight="1" s="71"/>
    <row r="500" ht="15.75" customHeight="1" s="71"/>
    <row r="501" ht="15.75" customHeight="1" s="71"/>
    <row r="502" ht="15.75" customHeight="1" s="71"/>
    <row r="503" ht="15.75" customHeight="1" s="71"/>
    <row r="504" ht="15.75" customHeight="1" s="71"/>
    <row r="505" ht="15.75" customHeight="1" s="71"/>
    <row r="506" ht="15.75" customHeight="1" s="71"/>
    <row r="507" ht="15.75" customHeight="1" s="71"/>
    <row r="508" ht="15.75" customHeight="1" s="71"/>
    <row r="509" ht="15.75" customHeight="1" s="71"/>
    <row r="510" ht="15.75" customHeight="1" s="71"/>
    <row r="511" ht="15.75" customHeight="1" s="71"/>
    <row r="512" ht="15.75" customHeight="1" s="71"/>
    <row r="513" ht="15.75" customHeight="1" s="71"/>
    <row r="514" ht="15.75" customHeight="1" s="71"/>
    <row r="515" ht="15.75" customHeight="1" s="71"/>
    <row r="516" ht="15.75" customHeight="1" s="71"/>
    <row r="517" ht="15.75" customHeight="1" s="71"/>
    <row r="518" ht="15.75" customHeight="1" s="71"/>
    <row r="519" ht="15.75" customHeight="1" s="71"/>
    <row r="520" ht="15.75" customHeight="1" s="71"/>
    <row r="521" ht="15.75" customHeight="1" s="71"/>
    <row r="522" ht="15.75" customHeight="1" s="71"/>
    <row r="523" ht="15.75" customHeight="1" s="71"/>
    <row r="524" ht="15.75" customHeight="1" s="71"/>
    <row r="525" ht="15.75" customHeight="1" s="71"/>
    <row r="526" ht="15.75" customHeight="1" s="71"/>
    <row r="527" ht="15.75" customHeight="1" s="71"/>
    <row r="528" ht="15.75" customHeight="1" s="71"/>
    <row r="529" ht="15.75" customHeight="1" s="71"/>
    <row r="530" ht="15.75" customHeight="1" s="71"/>
    <row r="531" ht="15.75" customHeight="1" s="71"/>
    <row r="532" ht="15.75" customHeight="1" s="71"/>
    <row r="533" ht="15.75" customHeight="1" s="71"/>
    <row r="534" ht="15.75" customHeight="1" s="71"/>
    <row r="535" ht="15.75" customHeight="1" s="71"/>
    <row r="536" ht="15.75" customHeight="1" s="71"/>
    <row r="537" ht="15.75" customHeight="1" s="71"/>
    <row r="538" ht="15.75" customHeight="1" s="71"/>
    <row r="539" ht="15.75" customHeight="1" s="71"/>
    <row r="540" ht="15.75" customHeight="1" s="71"/>
    <row r="541" ht="15.75" customHeight="1" s="71"/>
    <row r="542" ht="15.75" customHeight="1" s="71"/>
    <row r="543" ht="15.75" customHeight="1" s="71"/>
    <row r="544" ht="15.75" customHeight="1" s="71"/>
    <row r="545" ht="15.75" customHeight="1" s="71"/>
    <row r="546" ht="15.75" customHeight="1" s="71"/>
    <row r="547" ht="15.75" customHeight="1" s="71"/>
    <row r="548" ht="15.75" customHeight="1" s="71"/>
    <row r="549" ht="15.75" customHeight="1" s="71"/>
    <row r="550" ht="15.75" customHeight="1" s="71"/>
    <row r="551" ht="15.75" customHeight="1" s="71"/>
    <row r="552" ht="15.75" customHeight="1" s="71"/>
    <row r="553" ht="15.75" customHeight="1" s="71"/>
    <row r="554" ht="15.75" customHeight="1" s="71"/>
    <row r="555" ht="15.75" customHeight="1" s="71"/>
    <row r="556" ht="15.75" customHeight="1" s="71"/>
    <row r="557" ht="15.75" customHeight="1" s="71"/>
    <row r="558" ht="15.75" customHeight="1" s="71"/>
    <row r="559" ht="15.75" customHeight="1" s="71"/>
    <row r="560" ht="15.75" customHeight="1" s="71"/>
    <row r="561" ht="15.75" customHeight="1" s="71"/>
    <row r="562" ht="15.75" customHeight="1" s="71"/>
    <row r="563" ht="15.75" customHeight="1" s="71"/>
    <row r="564" ht="15.75" customHeight="1" s="71"/>
    <row r="565" ht="15.75" customHeight="1" s="71"/>
    <row r="566" ht="15.75" customHeight="1" s="71"/>
    <row r="567" ht="15.75" customHeight="1" s="71"/>
    <row r="568" ht="15.75" customHeight="1" s="71"/>
    <row r="569" ht="15.75" customHeight="1" s="71"/>
    <row r="570" ht="15.75" customHeight="1" s="71"/>
    <row r="571" ht="15.75" customHeight="1" s="71"/>
    <row r="572" ht="15.75" customHeight="1" s="71"/>
    <row r="573" ht="15.75" customHeight="1" s="71"/>
    <row r="574" ht="15.75" customHeight="1" s="71"/>
    <row r="575" ht="15.75" customHeight="1" s="71"/>
    <row r="576" ht="15.75" customHeight="1" s="71"/>
    <row r="577" ht="15.75" customHeight="1" s="71"/>
    <row r="578" ht="15.75" customHeight="1" s="71"/>
    <row r="579" ht="15.75" customHeight="1" s="71"/>
    <row r="580" ht="15.75" customHeight="1" s="71"/>
    <row r="581" ht="15.75" customHeight="1" s="71"/>
    <row r="582" ht="15.75" customHeight="1" s="71"/>
    <row r="583" ht="15.75" customHeight="1" s="71"/>
    <row r="584" ht="15.75" customHeight="1" s="71"/>
    <row r="585" ht="15.75" customHeight="1" s="71"/>
    <row r="586" ht="15.75" customHeight="1" s="71"/>
    <row r="587" ht="15.75" customHeight="1" s="71"/>
    <row r="588" ht="15.75" customHeight="1" s="71"/>
    <row r="589" ht="15.75" customHeight="1" s="71"/>
    <row r="590" ht="15.75" customHeight="1" s="71"/>
    <row r="591" ht="15.75" customHeight="1" s="71"/>
    <row r="592" ht="15.75" customHeight="1" s="71"/>
    <row r="593" ht="15.75" customHeight="1" s="71"/>
    <row r="594" ht="15.75" customHeight="1" s="71"/>
    <row r="595" ht="15.75" customHeight="1" s="71"/>
    <row r="596" ht="15.75" customHeight="1" s="71"/>
    <row r="597" ht="15.75" customHeight="1" s="71"/>
    <row r="598" ht="15.75" customHeight="1" s="71"/>
    <row r="599" ht="15.75" customHeight="1" s="71"/>
    <row r="600" ht="15.75" customHeight="1" s="71"/>
    <row r="601" ht="15.75" customHeight="1" s="71"/>
    <row r="602" ht="15.75" customHeight="1" s="71"/>
    <row r="603" ht="15.75" customHeight="1" s="71"/>
    <row r="604" ht="15.75" customHeight="1" s="71"/>
    <row r="605" ht="15.75" customHeight="1" s="71"/>
    <row r="606" ht="15.75" customHeight="1" s="71"/>
    <row r="607" ht="15.75" customHeight="1" s="71"/>
    <row r="608" ht="15.75" customHeight="1" s="71"/>
    <row r="609" ht="15.75" customHeight="1" s="71"/>
    <row r="610" ht="15.75" customHeight="1" s="71"/>
    <row r="611" ht="15.75" customHeight="1" s="71"/>
    <row r="612" ht="15.75" customHeight="1" s="71"/>
    <row r="613" ht="15.75" customHeight="1" s="71"/>
    <row r="614" ht="15.75" customHeight="1" s="71"/>
    <row r="615" ht="15.75" customHeight="1" s="71"/>
    <row r="616" ht="15.75" customHeight="1" s="71"/>
    <row r="617" ht="15.75" customHeight="1" s="71"/>
    <row r="618" ht="15.75" customHeight="1" s="71"/>
    <row r="619" ht="15.75" customHeight="1" s="71"/>
    <row r="620" ht="15.75" customHeight="1" s="71"/>
    <row r="621" ht="15.75" customHeight="1" s="71"/>
    <row r="622" ht="15.75" customHeight="1" s="71"/>
    <row r="623" ht="15.75" customHeight="1" s="71"/>
    <row r="624" ht="15.75" customHeight="1" s="71"/>
    <row r="625" ht="15.75" customHeight="1" s="71"/>
    <row r="626" ht="15.75" customHeight="1" s="71"/>
    <row r="627" ht="15.75" customHeight="1" s="71"/>
    <row r="628" ht="15.75" customHeight="1" s="71"/>
    <row r="629" ht="15.75" customHeight="1" s="71"/>
    <row r="630" ht="15.75" customHeight="1" s="71"/>
    <row r="631" ht="15.75" customHeight="1" s="71"/>
    <row r="632" ht="15.75" customHeight="1" s="71"/>
    <row r="633" ht="15.75" customHeight="1" s="71"/>
    <row r="634" ht="15.75" customHeight="1" s="71"/>
    <row r="635" ht="15.75" customHeight="1" s="71"/>
    <row r="636" ht="15.75" customHeight="1" s="71"/>
    <row r="637" ht="15.75" customHeight="1" s="71"/>
    <row r="638" ht="15.75" customHeight="1" s="71"/>
    <row r="639" ht="15.75" customHeight="1" s="71"/>
    <row r="640" ht="15.75" customHeight="1" s="71"/>
    <row r="641" ht="15.75" customHeight="1" s="71"/>
    <row r="642" ht="15.75" customHeight="1" s="71"/>
    <row r="643" ht="15.75" customHeight="1" s="71"/>
    <row r="644" ht="15.75" customHeight="1" s="71"/>
    <row r="645" ht="15.75" customHeight="1" s="71"/>
    <row r="646" ht="15.75" customHeight="1" s="71"/>
    <row r="647" ht="15.75" customHeight="1" s="71"/>
    <row r="648" ht="15.75" customHeight="1" s="71"/>
    <row r="649" ht="15.75" customHeight="1" s="71"/>
    <row r="650" ht="15.75" customHeight="1" s="71"/>
    <row r="651" ht="15.75" customHeight="1" s="71"/>
    <row r="652" ht="15.75" customHeight="1" s="71"/>
    <row r="653" ht="15.75" customHeight="1" s="71"/>
    <row r="654" ht="15.75" customHeight="1" s="71"/>
    <row r="655" ht="15.75" customHeight="1" s="71"/>
    <row r="656" ht="15.75" customHeight="1" s="71"/>
    <row r="657" ht="15.75" customHeight="1" s="71"/>
    <row r="658" ht="15.75" customHeight="1" s="71"/>
    <row r="659" ht="15.75" customHeight="1" s="71"/>
    <row r="660" ht="15.75" customHeight="1" s="71"/>
    <row r="661" ht="15.75" customHeight="1" s="71"/>
    <row r="662" ht="15.75" customHeight="1" s="71"/>
    <row r="663" ht="15.75" customHeight="1" s="71"/>
    <row r="664" ht="15.75" customHeight="1" s="71"/>
    <row r="665" ht="15.75" customHeight="1" s="71"/>
    <row r="666" ht="15.75" customHeight="1" s="71"/>
    <row r="667" ht="15.75" customHeight="1" s="71"/>
    <row r="668" ht="15.75" customHeight="1" s="71"/>
    <row r="669" ht="15.75" customHeight="1" s="71"/>
    <row r="670" ht="15.75" customHeight="1" s="71"/>
    <row r="671" ht="15.75" customHeight="1" s="71"/>
    <row r="672" ht="15.75" customHeight="1" s="71"/>
    <row r="673" ht="15.75" customHeight="1" s="71"/>
    <row r="674" ht="15.75" customHeight="1" s="71"/>
    <row r="675" ht="15.75" customHeight="1" s="71"/>
    <row r="676" ht="15.75" customHeight="1" s="71"/>
    <row r="677" ht="15.75" customHeight="1" s="71"/>
    <row r="678" ht="15.75" customHeight="1" s="71"/>
    <row r="679" ht="15.75" customHeight="1" s="71"/>
    <row r="680" ht="15.75" customHeight="1" s="71"/>
    <row r="681" ht="15.75" customHeight="1" s="71"/>
    <row r="682" ht="15.75" customHeight="1" s="71"/>
    <row r="683" ht="15.75" customHeight="1" s="71"/>
    <row r="684" ht="15.75" customHeight="1" s="71"/>
    <row r="685" ht="15.75" customHeight="1" s="71"/>
    <row r="686" ht="15.75" customHeight="1" s="71"/>
    <row r="687" ht="15.75" customHeight="1" s="71"/>
    <row r="688" ht="15.75" customHeight="1" s="71"/>
    <row r="689" ht="15.75" customHeight="1" s="71"/>
    <row r="690" ht="15.75" customHeight="1" s="71"/>
    <row r="691" ht="15.75" customHeight="1" s="71"/>
    <row r="692" ht="15.75" customHeight="1" s="71"/>
    <row r="693" ht="15.75" customHeight="1" s="71"/>
    <row r="694" ht="15.75" customHeight="1" s="71"/>
    <row r="695" ht="15.75" customHeight="1" s="71"/>
    <row r="696" ht="15.75" customHeight="1" s="71"/>
    <row r="697" ht="15.75" customHeight="1" s="71"/>
    <row r="698" ht="15.75" customHeight="1" s="71"/>
    <row r="699" ht="15.75" customHeight="1" s="71"/>
    <row r="700" ht="15.75" customHeight="1" s="71"/>
    <row r="701" ht="15.75" customHeight="1" s="71"/>
    <row r="702" ht="15.75" customHeight="1" s="71"/>
    <row r="703" ht="15.75" customHeight="1" s="71"/>
    <row r="704" ht="15.75" customHeight="1" s="71"/>
    <row r="705" ht="15.75" customHeight="1" s="71"/>
    <row r="706" ht="15.75" customHeight="1" s="71"/>
    <row r="707" ht="15.75" customHeight="1" s="71"/>
    <row r="708" ht="15.75" customHeight="1" s="71"/>
    <row r="709" ht="15.75" customHeight="1" s="71"/>
    <row r="710" ht="15.75" customHeight="1" s="71"/>
    <row r="711" ht="15.75" customHeight="1" s="71"/>
    <row r="712" ht="15.75" customHeight="1" s="71"/>
    <row r="713" ht="15.75" customHeight="1" s="71"/>
    <row r="714" ht="15.75" customHeight="1" s="71"/>
    <row r="715" ht="15.75" customHeight="1" s="71"/>
    <row r="716" ht="15.75" customHeight="1" s="71"/>
    <row r="717" ht="15.75" customHeight="1" s="71"/>
    <row r="718" ht="15.75" customHeight="1" s="71"/>
    <row r="719" ht="15.75" customHeight="1" s="71"/>
    <row r="720" ht="15.75" customHeight="1" s="71"/>
    <row r="721" ht="15.75" customHeight="1" s="71"/>
    <row r="722" ht="15.75" customHeight="1" s="71"/>
    <row r="723" ht="15.75" customHeight="1" s="71"/>
    <row r="724" ht="15.75" customHeight="1" s="71"/>
    <row r="725" ht="15.75" customHeight="1" s="71"/>
    <row r="726" ht="15.75" customHeight="1" s="71"/>
    <row r="727" ht="15.75" customHeight="1" s="71"/>
    <row r="728" ht="15.75" customHeight="1" s="71"/>
    <row r="729" ht="15.75" customHeight="1" s="71"/>
    <row r="730" ht="15.75" customHeight="1" s="71"/>
    <row r="731" ht="15.75" customHeight="1" s="71"/>
    <row r="732" ht="15.75" customHeight="1" s="71"/>
    <row r="733" ht="15.75" customHeight="1" s="71"/>
    <row r="734" ht="15.75" customHeight="1" s="71"/>
    <row r="735" ht="15.75" customHeight="1" s="71"/>
    <row r="736" ht="15.75" customHeight="1" s="71"/>
    <row r="737" ht="15.75" customHeight="1" s="71"/>
    <row r="738" ht="15.75" customHeight="1" s="71"/>
    <row r="739" ht="15.75" customHeight="1" s="71"/>
    <row r="740" ht="15.75" customHeight="1" s="71"/>
    <row r="741" ht="15.75" customHeight="1" s="71"/>
    <row r="742" ht="15.75" customHeight="1" s="71"/>
    <row r="743" ht="15.75" customHeight="1" s="71"/>
    <row r="744" ht="15.75" customHeight="1" s="71"/>
    <row r="745" ht="15.75" customHeight="1" s="71"/>
    <row r="746" ht="15.75" customHeight="1" s="71"/>
    <row r="747" ht="15.75" customHeight="1" s="71"/>
    <row r="748" ht="15.75" customHeight="1" s="71"/>
    <row r="749" ht="15.75" customHeight="1" s="71"/>
    <row r="750" ht="15.75" customHeight="1" s="71"/>
    <row r="751" ht="15.75" customHeight="1" s="71"/>
    <row r="752" ht="15.75" customHeight="1" s="71"/>
    <row r="753" ht="15.75" customHeight="1" s="71"/>
    <row r="754" ht="15.75" customHeight="1" s="71"/>
    <row r="755" ht="15.75" customHeight="1" s="71"/>
    <row r="756" ht="15.75" customHeight="1" s="71"/>
    <row r="757" ht="15.75" customHeight="1" s="71"/>
    <row r="758" ht="15.75" customHeight="1" s="71"/>
    <row r="759" ht="15.75" customHeight="1" s="71"/>
    <row r="760" ht="15.75" customHeight="1" s="71"/>
    <row r="761" ht="15.75" customHeight="1" s="71"/>
    <row r="762" ht="15.75" customHeight="1" s="71"/>
    <row r="763" ht="15.75" customHeight="1" s="71"/>
    <row r="764" ht="15.75" customHeight="1" s="71"/>
    <row r="765" ht="15.75" customHeight="1" s="71"/>
    <row r="766" ht="15.75" customHeight="1" s="71"/>
    <row r="767" ht="15.75" customHeight="1" s="71"/>
    <row r="768" ht="15.75" customHeight="1" s="71"/>
    <row r="769" ht="15.75" customHeight="1" s="71"/>
    <row r="770" ht="15.75" customHeight="1" s="71"/>
    <row r="771" ht="15.75" customHeight="1" s="71"/>
    <row r="772" ht="15.75" customHeight="1" s="71"/>
    <row r="773" ht="15.75" customHeight="1" s="71"/>
    <row r="774" ht="15.75" customHeight="1" s="71"/>
    <row r="775" ht="15.75" customHeight="1" s="71"/>
    <row r="776" ht="15.75" customHeight="1" s="71"/>
    <row r="777" ht="15.75" customHeight="1" s="71"/>
    <row r="778" ht="15.75" customHeight="1" s="71"/>
    <row r="779" ht="15.75" customHeight="1" s="71"/>
    <row r="780" ht="15.75" customHeight="1" s="71"/>
    <row r="781" ht="15.75" customHeight="1" s="71"/>
    <row r="782" ht="15.75" customHeight="1" s="71"/>
    <row r="783" ht="15.75" customHeight="1" s="71"/>
    <row r="784" ht="15.75" customHeight="1" s="71"/>
    <row r="785" ht="15.75" customHeight="1" s="71"/>
    <row r="786" ht="15.75" customHeight="1" s="71"/>
    <row r="787" ht="15.75" customHeight="1" s="71"/>
    <row r="788" ht="15.75" customHeight="1" s="71"/>
    <row r="789" ht="15.75" customHeight="1" s="71"/>
    <row r="790" ht="15.75" customHeight="1" s="71"/>
    <row r="791" ht="15.75" customHeight="1" s="71"/>
    <row r="792" ht="15.75" customHeight="1" s="71"/>
    <row r="793" ht="15.75" customHeight="1" s="71"/>
    <row r="794" ht="15.75" customHeight="1" s="71"/>
    <row r="795" ht="15.75" customHeight="1" s="71"/>
    <row r="796" ht="15.75" customHeight="1" s="71"/>
    <row r="797" ht="15.75" customHeight="1" s="71"/>
    <row r="798" ht="15.75" customHeight="1" s="71"/>
    <row r="799" ht="15.75" customHeight="1" s="71"/>
    <row r="800" ht="15.75" customHeight="1" s="71"/>
    <row r="801" ht="15.75" customHeight="1" s="71"/>
    <row r="802" ht="15.75" customHeight="1" s="71"/>
    <row r="803" ht="15.75" customHeight="1" s="71"/>
    <row r="804" ht="15.75" customHeight="1" s="71"/>
    <row r="805" ht="15.75" customHeight="1" s="71"/>
    <row r="806" ht="15.75" customHeight="1" s="71"/>
    <row r="807" ht="15.75" customHeight="1" s="71"/>
    <row r="808" ht="15.75" customHeight="1" s="71"/>
    <row r="809" ht="15.75" customHeight="1" s="71"/>
    <row r="810" ht="15.75" customHeight="1" s="71"/>
    <row r="811" ht="15.75" customHeight="1" s="71"/>
    <row r="812" ht="15.75" customHeight="1" s="71"/>
    <row r="813" ht="15.75" customHeight="1" s="71"/>
    <row r="814" ht="15.75" customHeight="1" s="71"/>
    <row r="815" ht="15.75" customHeight="1" s="71"/>
    <row r="816" ht="15.75" customHeight="1" s="71"/>
    <row r="817" ht="15.75" customHeight="1" s="71"/>
    <row r="818" ht="15.75" customHeight="1" s="71"/>
    <row r="819" ht="15.75" customHeight="1" s="71"/>
    <row r="820" ht="15.75" customHeight="1" s="71"/>
    <row r="821" ht="15.75" customHeight="1" s="71"/>
    <row r="822" ht="15.75" customHeight="1" s="71"/>
    <row r="823" ht="15.75" customHeight="1" s="71"/>
    <row r="824" ht="15.75" customHeight="1" s="71"/>
    <row r="825" ht="15.75" customHeight="1" s="71"/>
    <row r="826" ht="15.75" customHeight="1" s="71"/>
    <row r="827" ht="15.75" customHeight="1" s="71"/>
    <row r="828" ht="15.75" customHeight="1" s="71"/>
    <row r="829" ht="15.75" customHeight="1" s="71"/>
    <row r="830" ht="15.75" customHeight="1" s="71"/>
    <row r="831" ht="15.75" customHeight="1" s="71"/>
    <row r="832" ht="15.75" customHeight="1" s="71"/>
    <row r="833" ht="15.75" customHeight="1" s="71"/>
    <row r="834" ht="15.75" customHeight="1" s="71"/>
    <row r="835" ht="15.75" customHeight="1" s="71"/>
    <row r="836" ht="15.75" customHeight="1" s="71"/>
    <row r="837" ht="15.75" customHeight="1" s="71"/>
    <row r="838" ht="15.75" customHeight="1" s="71"/>
    <row r="839" ht="15.75" customHeight="1" s="71"/>
    <row r="840" ht="15.75" customHeight="1" s="71"/>
    <row r="841" ht="15.75" customHeight="1" s="71"/>
    <row r="842" ht="15.75" customHeight="1" s="71"/>
    <row r="843" ht="15.75" customHeight="1" s="71"/>
    <row r="844" ht="15.75" customHeight="1" s="71"/>
    <row r="845" ht="15.75" customHeight="1" s="71"/>
    <row r="846" ht="15.75" customHeight="1" s="71"/>
    <row r="847" ht="15.75" customHeight="1" s="71"/>
    <row r="848" ht="15.75" customHeight="1" s="71"/>
    <row r="849" ht="15.75" customHeight="1" s="71"/>
    <row r="850" ht="15.75" customHeight="1" s="71"/>
    <row r="851" ht="15.75" customHeight="1" s="71"/>
    <row r="852" ht="15.75" customHeight="1" s="71"/>
    <row r="853" ht="15.75" customHeight="1" s="71"/>
    <row r="854" ht="15.75" customHeight="1" s="71"/>
    <row r="855" ht="15.75" customHeight="1" s="71"/>
    <row r="856" ht="15.75" customHeight="1" s="71"/>
    <row r="857" ht="15.75" customHeight="1" s="71"/>
    <row r="858" ht="15.75" customHeight="1" s="71"/>
    <row r="859" ht="15.75" customHeight="1" s="71"/>
    <row r="860" ht="15.75" customHeight="1" s="71"/>
    <row r="861" ht="15.75" customHeight="1" s="71"/>
    <row r="862" ht="15.75" customHeight="1" s="71"/>
    <row r="863" ht="15.75" customHeight="1" s="71"/>
    <row r="864" ht="15.75" customHeight="1" s="71"/>
    <row r="865" ht="15.75" customHeight="1" s="71"/>
    <row r="866" ht="15.75" customHeight="1" s="71"/>
    <row r="867" ht="15.75" customHeight="1" s="71"/>
    <row r="868" ht="15.75" customHeight="1" s="71"/>
    <row r="869" ht="15.75" customHeight="1" s="71"/>
    <row r="870" ht="15.75" customHeight="1" s="71"/>
    <row r="871" ht="15.75" customHeight="1" s="71"/>
    <row r="872" ht="15.75" customHeight="1" s="71"/>
    <row r="873" ht="15.75" customHeight="1" s="71"/>
    <row r="874" ht="15.75" customHeight="1" s="71"/>
    <row r="875" ht="15.75" customHeight="1" s="71"/>
    <row r="876" ht="15.75" customHeight="1" s="71"/>
    <row r="877" ht="15.75" customHeight="1" s="71"/>
    <row r="878" ht="15.75" customHeight="1" s="71"/>
    <row r="879" ht="15.75" customHeight="1" s="71"/>
    <row r="880" ht="15.75" customHeight="1" s="71"/>
    <row r="881" ht="15.75" customHeight="1" s="71"/>
    <row r="882" ht="15.75" customHeight="1" s="71"/>
    <row r="883" ht="15.75" customHeight="1" s="71"/>
    <row r="884" ht="15.75" customHeight="1" s="71"/>
    <row r="885" ht="15.75" customHeight="1" s="71"/>
    <row r="886" ht="15.75" customHeight="1" s="71"/>
    <row r="887" ht="15.75" customHeight="1" s="71"/>
    <row r="888" ht="15.75" customHeight="1" s="71"/>
    <row r="889" ht="15.75" customHeight="1" s="71"/>
    <row r="890" ht="15.75" customHeight="1" s="71"/>
    <row r="891" ht="15.75" customHeight="1" s="71"/>
    <row r="892" ht="15.75" customHeight="1" s="71"/>
    <row r="893" ht="15.75" customHeight="1" s="71"/>
    <row r="894" ht="15.75" customHeight="1" s="71"/>
    <row r="895" ht="15.75" customHeight="1" s="71"/>
    <row r="896" ht="15.75" customHeight="1" s="71"/>
    <row r="897" ht="15.75" customHeight="1" s="71"/>
    <row r="898" ht="15.75" customHeight="1" s="71"/>
    <row r="899" ht="15.75" customHeight="1" s="71"/>
    <row r="900" ht="15.75" customHeight="1" s="71"/>
    <row r="901" ht="15.75" customHeight="1" s="71"/>
    <row r="902" ht="15.75" customHeight="1" s="71"/>
    <row r="903" ht="15.75" customHeight="1" s="71"/>
    <row r="904" ht="15.75" customHeight="1" s="71"/>
    <row r="905" ht="15.75" customHeight="1" s="71"/>
    <row r="906" ht="15.75" customHeight="1" s="71"/>
    <row r="907" ht="15.75" customHeight="1" s="71"/>
    <row r="908" ht="15.75" customHeight="1" s="71"/>
    <row r="909" ht="15.75" customHeight="1" s="71"/>
    <row r="910" ht="15.75" customHeight="1" s="71"/>
    <row r="911" ht="15.75" customHeight="1" s="71"/>
    <row r="912" ht="15.75" customHeight="1" s="71"/>
    <row r="913" ht="15.75" customHeight="1" s="71"/>
    <row r="914" ht="15.75" customHeight="1" s="71"/>
    <row r="915" ht="15.75" customHeight="1" s="71"/>
    <row r="916" ht="15.75" customHeight="1" s="71"/>
    <row r="917" ht="15.75" customHeight="1" s="71"/>
    <row r="918" ht="15.75" customHeight="1" s="71"/>
    <row r="919" ht="15.75" customHeight="1" s="71"/>
    <row r="920" ht="15.75" customHeight="1" s="71"/>
    <row r="921" ht="15.75" customHeight="1" s="71"/>
    <row r="922" ht="15.75" customHeight="1" s="71"/>
    <row r="923" ht="15.75" customHeight="1" s="71"/>
    <row r="924" ht="15.75" customHeight="1" s="71"/>
    <row r="925" ht="15.75" customHeight="1" s="71"/>
    <row r="926" ht="15.75" customHeight="1" s="71"/>
    <row r="927" ht="15.75" customHeight="1" s="71"/>
    <row r="928" ht="15.75" customHeight="1" s="71"/>
    <row r="929" ht="15.75" customHeight="1" s="71"/>
    <row r="930" ht="15.75" customHeight="1" s="71"/>
    <row r="931" ht="15.75" customHeight="1" s="71"/>
    <row r="932" ht="15.75" customHeight="1" s="71"/>
    <row r="933" ht="15.75" customHeight="1" s="71"/>
    <row r="934" ht="15.75" customHeight="1" s="71"/>
    <row r="935" ht="15.75" customHeight="1" s="71"/>
    <row r="936" ht="15.75" customHeight="1" s="71"/>
    <row r="937" ht="15.75" customHeight="1" s="71"/>
    <row r="938" ht="15.75" customHeight="1" s="71"/>
    <row r="939" ht="15.75" customHeight="1" s="71"/>
    <row r="940" ht="15.75" customHeight="1" s="71"/>
    <row r="941" ht="15.75" customHeight="1" s="71"/>
    <row r="942" ht="15.75" customHeight="1" s="71"/>
    <row r="943" ht="15.75" customHeight="1" s="71"/>
    <row r="944" ht="15.75" customHeight="1" s="71"/>
    <row r="945" ht="15.75" customHeight="1" s="71"/>
    <row r="946" ht="15.75" customHeight="1" s="71"/>
    <row r="947" ht="15.75" customHeight="1" s="71"/>
    <row r="948" ht="15.75" customHeight="1" s="71"/>
    <row r="949" ht="15.75" customHeight="1" s="71"/>
    <row r="950" ht="15.75" customHeight="1" s="71"/>
    <row r="951" ht="15.75" customHeight="1" s="71"/>
    <row r="952" ht="15.75" customHeight="1" s="71"/>
    <row r="953" ht="15.75" customHeight="1" s="71"/>
    <row r="954" ht="15.75" customHeight="1" s="71"/>
    <row r="955" ht="15.75" customHeight="1" s="71"/>
    <row r="956" ht="15.75" customHeight="1" s="71"/>
    <row r="957" ht="15.75" customHeight="1" s="71"/>
    <row r="958" ht="15.75" customHeight="1" s="71"/>
    <row r="959" ht="15.75" customHeight="1" s="71"/>
    <row r="960" ht="15.75" customHeight="1" s="71"/>
    <row r="961" ht="15.75" customHeight="1" s="71"/>
    <row r="962" ht="15.75" customHeight="1" s="71"/>
    <row r="963" ht="15.75" customHeight="1" s="71"/>
    <row r="964" ht="15.75" customHeight="1" s="71"/>
    <row r="965" ht="15.75" customHeight="1" s="71"/>
    <row r="966" ht="15.75" customHeight="1" s="71"/>
    <row r="967" ht="15.75" customHeight="1" s="71"/>
    <row r="968" ht="15.75" customHeight="1" s="71"/>
    <row r="969" ht="15.75" customHeight="1" s="71"/>
    <row r="970" ht="15.75" customHeight="1" s="71"/>
    <row r="971" ht="15.75" customHeight="1" s="71"/>
    <row r="972" ht="15.75" customHeight="1" s="71"/>
    <row r="973" ht="15.75" customHeight="1" s="71"/>
    <row r="974" ht="15.75" customHeight="1" s="71"/>
    <row r="975" ht="15.75" customHeight="1" s="71"/>
    <row r="976" ht="15.75" customHeight="1" s="71"/>
    <row r="977" ht="15.75" customHeight="1" s="71"/>
    <row r="978" ht="15.75" customHeight="1" s="71"/>
    <row r="979" ht="15.75" customHeight="1" s="71"/>
    <row r="980" ht="15.75" customHeight="1" s="71"/>
    <row r="981" ht="15.75" customHeight="1" s="71"/>
    <row r="982" ht="15.75" customHeight="1" s="71"/>
    <row r="983" ht="15.75" customHeight="1" s="71"/>
    <row r="984" ht="15.75" customHeight="1" s="71"/>
    <row r="985" ht="15.75" customHeight="1" s="71"/>
    <row r="986" ht="15.75" customHeight="1" s="71"/>
    <row r="987" ht="15.75" customHeight="1" s="71"/>
    <row r="988" ht="15.75" customHeight="1" s="71"/>
    <row r="989" ht="15.75" customHeight="1" s="71"/>
    <row r="990" ht="15.75" customHeight="1" s="71"/>
    <row r="991" ht="15.75" customHeight="1" s="71"/>
    <row r="992" ht="15.75" customHeight="1" s="71"/>
    <row r="993" ht="15.75" customHeight="1" s="71"/>
    <row r="994" ht="15.75" customHeight="1" s="71"/>
    <row r="995" ht="15.75" customHeight="1" s="71"/>
    <row r="996" ht="15.75" customHeight="1" s="71"/>
    <row r="997" ht="15.75" customHeight="1" s="71"/>
    <row r="998" ht="15.75" customHeight="1" s="71"/>
    <row r="999" ht="15.75" customHeight="1" s="71"/>
    <row r="1000" ht="15.75" customHeight="1" s="71"/>
  </sheetData>
  <mergeCells count="7">
    <mergeCell ref="B5:H5"/>
    <mergeCell ref="B2:H2"/>
    <mergeCell ref="B11:H11"/>
    <mergeCell ref="B3:H3"/>
    <mergeCell ref="B19:H19"/>
    <mergeCell ref="C21:H21"/>
    <mergeCell ref="B23:H23"/>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S418"/>
  <sheetViews>
    <sheetView zoomScale="99" zoomScaleNormal="99" workbookViewId="0">
      <pane ySplit="1" topLeftCell="A205" activePane="bottomLeft" state="frozen"/>
      <selection pane="bottomLeft" activeCell="S148" sqref="S148:S152"/>
    </sheetView>
  </sheetViews>
  <sheetFormatPr baseColWidth="8" defaultColWidth="14.42578125" defaultRowHeight="15"/>
  <cols>
    <col width="9" customWidth="1" style="71" min="1" max="1"/>
    <col width="7" customWidth="1" style="71" min="2" max="2"/>
    <col width="42" customWidth="1" style="71" min="3" max="3"/>
    <col width="9" customWidth="1" style="71" min="4" max="4"/>
    <col width="8" customWidth="1" style="71" min="5" max="5"/>
    <col width="13" customWidth="1" style="71" min="6" max="6"/>
    <col width="10" customWidth="1" style="71" min="7" max="7"/>
    <col width="6" customWidth="1" style="71" min="8" max="8"/>
    <col width="62" customWidth="1" style="71" min="9" max="9"/>
    <col width="12" customWidth="1" style="71" min="10" max="12"/>
    <col width="7" customWidth="1" style="71" min="13" max="13"/>
    <col width="48" customWidth="1" style="71" min="14" max="14"/>
    <col width="46" customWidth="1" style="71" min="15" max="16"/>
    <col width="13" customWidth="1" style="71" min="17" max="17"/>
    <col width="12" customWidth="1" style="71" min="18" max="18"/>
    <col width="32" customWidth="1" style="71" min="19" max="19"/>
    <col width="8.7109375" customWidth="1" style="71" min="20" max="26"/>
  </cols>
  <sheetData>
    <row r="1" ht="36" customHeight="1" s="71">
      <c r="A1" s="15" t="inlineStr">
        <is>
          <t>Task ID</t>
        </is>
      </c>
      <c r="B1" s="15" t="inlineStr">
        <is>
          <t>Module</t>
        </is>
      </c>
      <c r="C1" s="15" t="inlineStr">
        <is>
          <t>Task</t>
        </is>
      </c>
      <c r="D1" s="15" t="inlineStr">
        <is>
          <t>Type</t>
        </is>
      </c>
      <c r="E1" s="15" t="inlineStr">
        <is>
          <t>Est. hrs</t>
        </is>
      </c>
      <c r="F1" s="15" t="inlineStr">
        <is>
          <t>Task status
(auto)</t>
        </is>
      </c>
      <c r="G1" s="15" t="inlineStr">
        <is>
          <t>Task hrs
(auto)</t>
        </is>
      </c>
      <c r="H1" s="16" t="inlineStr">
        <is>
          <t>Step</t>
        </is>
      </c>
      <c r="I1" s="16" t="inlineStr">
        <is>
          <t>Exercise step</t>
        </is>
      </c>
      <c r="J1" s="16" t="inlineStr">
        <is>
          <t>Step status</t>
        </is>
      </c>
      <c r="K1" s="16" t="inlineStr">
        <is>
          <t>Start</t>
        </is>
      </c>
      <c r="L1" s="16" t="inlineStr">
        <is>
          <t>End</t>
        </is>
      </c>
      <c r="M1" s="16" t="inlineStr">
        <is>
          <t>Hrs</t>
        </is>
      </c>
      <c r="N1" s="15" t="inlineStr">
        <is>
          <t>Why it matters</t>
        </is>
      </c>
      <c r="O1" s="15" t="inlineStr">
        <is>
          <t>Resources</t>
        </is>
      </c>
      <c r="P1" s="15" t="inlineStr">
        <is>
          <t>Note for you</t>
        </is>
      </c>
      <c r="Q1" s="15" t="inlineStr">
        <is>
          <t>Builds on</t>
        </is>
      </c>
      <c r="R1" s="15" t="inlineStr">
        <is>
          <t>Confidence 1-5</t>
        </is>
      </c>
      <c r="S1" s="15" t="inlineStr">
        <is>
          <t>Comments</t>
        </is>
      </c>
    </row>
    <row r="2" ht="25.5" customHeight="1" s="71">
      <c r="A2" s="61" t="inlineStr">
        <is>
          <t xml:space="preserve">  Module 0 · Landing Well — 16 hrs · 6 tasks</t>
        </is>
      </c>
      <c r="B2" s="62" t="n"/>
      <c r="C2" s="62" t="n"/>
      <c r="D2" s="62" t="n"/>
      <c r="E2" s="62" t="n"/>
      <c r="F2" s="62" t="n"/>
      <c r="G2" s="62" t="n"/>
      <c r="H2" s="62" t="n"/>
      <c r="I2" s="62" t="n"/>
      <c r="J2" s="62" t="n"/>
      <c r="K2" s="62" t="n"/>
      <c r="L2" s="62" t="n"/>
      <c r="M2" s="62" t="n"/>
      <c r="N2" s="62" t="n"/>
      <c r="O2" s="62" t="n"/>
      <c r="P2" s="62" t="n"/>
      <c r="Q2" s="62" t="n"/>
      <c r="R2" s="62" t="n"/>
      <c r="S2" s="63" t="n"/>
    </row>
    <row r="3" ht="18" customHeight="1" s="71">
      <c r="A3" s="59" t="inlineStr">
        <is>
          <t>Goal</t>
        </is>
      </c>
      <c r="B3" s="58" t="n"/>
      <c r="C3" s="56" t="inlineStr">
        <is>
          <t>I know how this place works, my tools are set up, and I know how to conduct myself.</t>
        </is>
      </c>
      <c r="D3" s="57" t="n"/>
      <c r="E3" s="57" t="n"/>
      <c r="F3" s="57" t="n"/>
      <c r="G3" s="57" t="n"/>
      <c r="H3" s="57" t="n"/>
      <c r="I3" s="57" t="n"/>
      <c r="J3" s="57" t="n"/>
      <c r="K3" s="57" t="n"/>
      <c r="L3" s="57" t="n"/>
      <c r="M3" s="57" t="n"/>
      <c r="N3" s="57" t="n"/>
      <c r="O3" s="57" t="n"/>
      <c r="P3" s="57" t="n"/>
      <c r="Q3" s="57" t="n"/>
      <c r="R3" s="57" t="n"/>
      <c r="S3" s="58" t="n"/>
    </row>
    <row r="4" ht="18" customHeight="1" s="71">
      <c r="A4" s="59" t="inlineStr">
        <is>
          <t>About</t>
        </is>
      </c>
      <c r="B4" s="58" t="n"/>
      <c r="C4" s="56" t="inlineStr">
        <is>
          <t>Before any product work, a short module about the ground you're standing on. You've come straight from university, where the rules were mostly written down. At work they usually aren't. These six tasks make the unwritten parts explicit so you're not guessing.
---</t>
        </is>
      </c>
      <c r="D4" s="57" t="n"/>
      <c r="E4" s="57" t="n"/>
      <c r="F4" s="57" t="n"/>
      <c r="G4" s="57" t="n"/>
      <c r="H4" s="57" t="n"/>
      <c r="I4" s="57" t="n"/>
      <c r="J4" s="57" t="n"/>
      <c r="K4" s="57" t="n"/>
      <c r="L4" s="57" t="n"/>
      <c r="M4" s="57" t="n"/>
      <c r="N4" s="57" t="n"/>
      <c r="O4" s="57" t="n"/>
      <c r="P4" s="57" t="n"/>
      <c r="Q4" s="57" t="n"/>
      <c r="R4" s="57" t="n"/>
      <c r="S4" s="58" t="n"/>
    </row>
    <row r="5" ht="18" customHeight="1" s="71">
      <c r="A5" s="59" t="inlineStr">
        <is>
          <t>Checkpoint</t>
        </is>
      </c>
      <c r="B5" s="58" t="n"/>
      <c r="C5" s="56" t="inlineStr">
        <is>
          <t>Bring to your mentor: your five policy situations written out, your journal set up with three entries, your before-and-after transparency messages, your dark-pattern redesign, and your blocker template.
---</t>
        </is>
      </c>
      <c r="D5" s="57" t="n"/>
      <c r="E5" s="57" t="n"/>
      <c r="F5" s="57" t="n"/>
      <c r="G5" s="57" t="n"/>
      <c r="H5" s="57" t="n"/>
      <c r="I5" s="57" t="n"/>
      <c r="J5" s="57" t="n"/>
      <c r="K5" s="57" t="n"/>
      <c r="L5" s="57" t="n"/>
      <c r="M5" s="57" t="n"/>
      <c r="N5" s="57" t="n"/>
      <c r="O5" s="57" t="n"/>
      <c r="P5" s="57" t="n"/>
      <c r="Q5" s="57" t="n"/>
      <c r="R5" s="57" t="n"/>
      <c r="S5" s="58" t="n"/>
    </row>
    <row r="6" ht="30" customHeight="1" s="71">
      <c r="A6" s="65" t="inlineStr">
        <is>
          <t>0.1</t>
        </is>
      </c>
      <c r="B6" s="54" t="n">
        <v>0</v>
      </c>
      <c r="C6" s="64" t="inlineStr">
        <is>
          <t>Read: Company policies — mandatory</t>
        </is>
      </c>
      <c r="D6" s="54" t="inlineStr">
        <is>
          <t>Read</t>
        </is>
      </c>
      <c r="E6" s="54" t="n">
        <v>6</v>
      </c>
      <c r="F6" s="47">
        <f>IF(COUNTIF($J6:$J11,"Done")=6,"Done",IF(COUNTIF($J6:$J11,"Blocked")&gt;0,"Blocked",IF(COUNTIF($J6:$J11,"To do")=6,"Not started","In progress")))</f>
        <v/>
      </c>
      <c r="G6" s="47">
        <f>IF(SUM($M6:$M11)=0,"",SUM($M6:$M11))</f>
        <v/>
      </c>
      <c r="H6" s="17" t="n">
        <v>1</v>
      </c>
      <c r="I6" s="18" t="inlineStr">
        <is>
          <t>Read every policy document end to end, once, without taking notes.</t>
        </is>
      </c>
      <c r="J6" s="19" t="inlineStr">
        <is>
          <t>Done</t>
        </is>
      </c>
      <c r="K6" s="20" t="n">
        <v>46031</v>
      </c>
      <c r="L6" s="20" t="n">
        <v>46090</v>
      </c>
      <c r="M6" s="21" t="n">
        <v>15</v>
      </c>
      <c r="N6" s="53" t="inlineStr">
        <is>
          <t>Every new joiner reads and formally acknowledges our policies before touching project work. This is the one task in the plan that is genuinely compulsory. Budget a full working day for it. There's a good amount of material, and it rewards proper reading rather than a quick pass.</t>
        </is>
      </c>
      <c r="O6" s="53" t="inlineStr">
        <is>
          <t>• Our policy set — *HR or your mentor will share these with you*</t>
        </is>
      </c>
      <c r="P6" s="53" t="inlineStr">
        <is>
          <t>Step 4 is the real point of this task. Policies are easy to read and hard to apply — knowing in advance what you'd do in those five situations is what stops you improvising badly under pressure. You'll revisit the AI-and-client-data part properly in Task 7.5.
---
---</t>
        </is>
      </c>
      <c r="Q6" s="53" t="inlineStr">
        <is>
          <t>—</t>
        </is>
      </c>
      <c r="R6" s="54" t="n">
        <v>5</v>
      </c>
      <c r="S6" s="53" t="inlineStr">
        <is>
          <t>a client asks you to share another client's work: Would respectfully deny it as it is a clear of breach of privacy. you want to put client work in your portfolio: Would avoid the personal details of the client and the numbers related to the business or any other information which is restricted. you're working from a café on public wifi: The first thing is to ask myself that why am I doing this? Then I would switch to my personal wi-fi or would turn on the company's VPN before accesing and work files. you need leave at short notice: Will inform the HR first, in person or on call. Then will fill the leave application form. someone outside the company asks what you're building: Will refuse to give the specifics about the features and tell them to contact the company's PR Team.</t>
        </is>
      </c>
    </row>
    <row r="7" ht="55.5" customHeight="1" s="71">
      <c r="A7" s="48" t="n"/>
      <c r="B7" s="48" t="n"/>
      <c r="C7" s="48" t="n"/>
      <c r="D7" s="48" t="n"/>
      <c r="E7" s="48" t="n"/>
      <c r="F7" s="48" t="n"/>
      <c r="G7" s="48" t="n"/>
      <c r="H7" s="22" t="n">
        <v>2</v>
      </c>
      <c r="I7" s="23" t="inlineStr">
        <is>
          <t>Read them a second time and write down everything you didn't understand, anything that surprised you, and any term, threshold or approval step you couldn't explain to someone else.</t>
        </is>
      </c>
      <c r="J7" s="24" t="inlineStr">
        <is>
          <t>Done</t>
        </is>
      </c>
      <c r="K7" s="25" t="n">
        <v>46272</v>
      </c>
      <c r="L7" s="25" t="n">
        <v>46273</v>
      </c>
      <c r="M7" s="26" t="n">
        <v>5</v>
      </c>
      <c r="N7" s="48" t="n"/>
      <c r="O7" s="48" t="n"/>
      <c r="P7" s="48" t="n"/>
      <c r="Q7" s="48" t="n"/>
      <c r="R7" s="48" t="n"/>
      <c r="S7" s="48" t="n"/>
    </row>
    <row r="8" ht="55.5" customHeight="1" s="71">
      <c r="A8" s="48" t="n"/>
      <c r="B8" s="48" t="n"/>
      <c r="C8" s="48" t="n"/>
      <c r="D8" s="48" t="n"/>
      <c r="E8" s="48" t="n"/>
      <c r="F8" s="48" t="n"/>
      <c r="G8" s="48" t="n"/>
      <c r="H8" s="22" t="n">
        <v>3</v>
      </c>
      <c r="I8" s="23" t="inlineStr">
        <is>
          <t>Check with your mentor before putting any internal document into an AI tool. Where you're cleared to, ask Claude to explain unfamiliar terms in plain language; where you're not, ask your mentor directly.</t>
        </is>
      </c>
      <c r="J8" s="24" t="inlineStr">
        <is>
          <t>Done</t>
        </is>
      </c>
      <c r="K8" s="25" t="n">
        <v>46273</v>
      </c>
      <c r="L8" s="25" t="n">
        <v>46273</v>
      </c>
      <c r="M8" s="26" t="n">
        <v>0.5</v>
      </c>
      <c r="N8" s="48" t="n"/>
      <c r="O8" s="48" t="n"/>
      <c r="P8" s="48" t="n"/>
      <c r="Q8" s="48" t="n"/>
      <c r="R8" s="48" t="n"/>
      <c r="S8" s="48" t="n"/>
    </row>
    <row r="9" ht="81.75" customHeight="1" s="71">
      <c r="A9" s="48" t="n"/>
      <c r="B9" s="48" t="n"/>
      <c r="C9" s="48" t="n"/>
      <c r="D9" s="48" t="n"/>
      <c r="E9" s="48" t="n"/>
      <c r="F9" s="48" t="n"/>
      <c r="G9" s="48" t="n"/>
      <c r="H9" s="22" t="n">
        <v>4</v>
      </c>
      <c r="I9" s="23" t="inlineStr">
        <is>
          <t>Write down what you would actually do in five specific situations: a client asks you to share another client's work; you want to put client work in your portfolio; you're working from a café on public wifi; you need leave at short notice; someone outside the company asks what you're building.</t>
        </is>
      </c>
      <c r="J9" s="24" t="inlineStr">
        <is>
          <t>Done</t>
        </is>
      </c>
      <c r="K9" s="25" t="n">
        <v>46273</v>
      </c>
      <c r="L9" s="25" t="n">
        <v>46273</v>
      </c>
      <c r="M9" s="26" t="n">
        <v>0.25</v>
      </c>
      <c r="N9" s="48" t="n"/>
      <c r="O9" s="48" t="n"/>
      <c r="P9" s="48" t="n"/>
      <c r="Q9" s="48" t="n"/>
      <c r="R9" s="48" t="n"/>
      <c r="S9" s="48" t="n"/>
    </row>
    <row r="10" ht="30" customHeight="1" s="71">
      <c r="A10" s="48" t="n"/>
      <c r="B10" s="48" t="n"/>
      <c r="C10" s="48" t="n"/>
      <c r="D10" s="48" t="n"/>
      <c r="E10" s="48" t="n"/>
      <c r="F10" s="48" t="n"/>
      <c r="G10" s="48" t="n"/>
      <c r="H10" s="22" t="n">
        <v>5</v>
      </c>
      <c r="I10" s="23" t="inlineStr">
        <is>
          <t>Take your open questions to your mentor, then complete whatever acknowledgement or sign-off we require.</t>
        </is>
      </c>
      <c r="J10" s="24" t="inlineStr">
        <is>
          <t>Done</t>
        </is>
      </c>
      <c r="K10" s="25" t="n">
        <v>46273</v>
      </c>
      <c r="L10" s="25" t="n">
        <v>46273</v>
      </c>
      <c r="M10" s="26" t="inlineStr">
        <is>
          <t>-</t>
        </is>
      </c>
      <c r="N10" s="48" t="n"/>
      <c r="O10" s="48" t="n"/>
      <c r="P10" s="48" t="n"/>
      <c r="Q10" s="48" t="n"/>
      <c r="R10" s="48" t="n"/>
      <c r="S10" s="48" t="n"/>
    </row>
    <row r="11" ht="42.75" customHeight="1" s="71">
      <c r="A11" s="49" t="n"/>
      <c r="B11" s="49" t="n"/>
      <c r="C11" s="49" t="n"/>
      <c r="D11" s="49" t="n"/>
      <c r="E11" s="49" t="n"/>
      <c r="F11" s="49" t="n"/>
      <c r="G11" s="49" t="n"/>
      <c r="H11" s="27" t="n">
        <v>6</v>
      </c>
      <c r="I11" s="28" t="inlineStr">
        <is>
          <t>Split this across two sittings if you'd like to. Policy documents are dense, and you'll get much more from the second half with fresh attention.</t>
        </is>
      </c>
      <c r="J11" s="29" t="inlineStr">
        <is>
          <t>Done</t>
        </is>
      </c>
      <c r="K11" s="25" t="n">
        <v>46272</v>
      </c>
      <c r="L11" s="25" t="n">
        <v>46273</v>
      </c>
      <c r="M11" s="26" t="inlineStr">
        <is>
          <t>-</t>
        </is>
      </c>
      <c r="N11" s="49" t="n"/>
      <c r="O11" s="49" t="n"/>
      <c r="P11" s="49" t="n"/>
      <c r="Q11" s="49" t="n"/>
      <c r="R11" s="49" t="n"/>
      <c r="S11" s="49" t="n"/>
    </row>
    <row r="12" ht="30" customHeight="1" s="71">
      <c r="A12" s="60" t="inlineStr">
        <is>
          <t>0.2</t>
        </is>
      </c>
      <c r="B12" s="51" t="n">
        <v>0</v>
      </c>
      <c r="C12" s="50" t="inlineStr">
        <is>
          <t>Set up: Your tools and workspace</t>
        </is>
      </c>
      <c r="D12" s="51" t="inlineStr">
        <is>
          <t>Set up</t>
        </is>
      </c>
      <c r="E12" s="51" t="n">
        <v>1</v>
      </c>
      <c r="F12" s="55">
        <f>IF(COUNTIF($J12:$J16,"Done")=5,"Done",IF(COUNTIF($J12:$J16,"Blocked")&gt;0,"Blocked",IF(COUNTIF($J12:$J16,"To do")=5,"Not started","In progress")))</f>
        <v/>
      </c>
      <c r="G12" s="55">
        <f>IF(SUM($M12:$M16)=0,"",SUM($M12:$M16))</f>
        <v/>
      </c>
      <c r="H12" s="17" t="n">
        <v>1</v>
      </c>
      <c r="I12" s="18" t="inlineStr">
        <is>
          <t>Log in to Claude and confirm your plan gives you Projects and file uploads.</t>
        </is>
      </c>
      <c r="J12" s="19" t="inlineStr">
        <is>
          <t>Done</t>
        </is>
      </c>
      <c r="K12" s="25" t="n">
        <v>46273</v>
      </c>
      <c r="L12" s="25" t="n">
        <v>46273</v>
      </c>
      <c r="M12" s="21" t="n">
        <v>0.05</v>
      </c>
      <c r="N12" s="52" t="inlineStr">
        <is>
          <t>Get your accounts, permissions and file structure sorted in one sitting so you never lose time to setup again.</t>
        </is>
      </c>
      <c r="O12" s="52" t="inlineStr">
        <is>
          <t>• Claude Help Center: https://support.claude.com
• Claude Academy: https://academy.claude.com</t>
        </is>
      </c>
      <c r="P12" s="52" t="inlineStr">
        <is>
          <t>A small task with a long payoff. A properly set-up workspace saves you a little friction every single day for the next seven weeks.
---
---</t>
        </is>
      </c>
      <c r="Q12" s="52" t="inlineStr">
        <is>
          <t>—</t>
        </is>
      </c>
      <c r="R12" s="51" t="n">
        <v>5</v>
      </c>
      <c r="S12" s="52" t="inlineStr">
        <is>
          <t>Currently I have access to Cowork, Claude Design but not Jira and other internal skills.</t>
        </is>
      </c>
    </row>
    <row r="13" ht="30" customHeight="1" s="71">
      <c r="A13" s="48" t="n"/>
      <c r="B13" s="48" t="n"/>
      <c r="C13" s="48" t="n"/>
      <c r="D13" s="48" t="n"/>
      <c r="E13" s="48" t="n"/>
      <c r="F13" s="48" t="n"/>
      <c r="G13" s="48" t="n"/>
      <c r="H13" s="22" t="n">
        <v>2</v>
      </c>
      <c r="I13" s="23" t="inlineStr">
        <is>
          <t>Go to Settings → Capabilities and switch on code execution / file creation (Skills and file outputs depend on it).</t>
        </is>
      </c>
      <c r="J13" s="24" t="inlineStr">
        <is>
          <t>Done</t>
        </is>
      </c>
      <c r="K13" s="25" t="n">
        <v>46273</v>
      </c>
      <c r="L13" s="25" t="n">
        <v>46273</v>
      </c>
      <c r="M13" s="26" t="inlineStr">
        <is>
          <t>-</t>
        </is>
      </c>
      <c r="N13" s="48" t="n"/>
      <c r="O13" s="48" t="n"/>
      <c r="P13" s="48" t="n"/>
      <c r="Q13" s="48" t="n"/>
      <c r="R13" s="48" t="n"/>
      <c r="S13" s="48" t="n"/>
    </row>
    <row r="14" ht="42.75" customHeight="1" s="71">
      <c r="A14" s="48" t="n"/>
      <c r="B14" s="48" t="n"/>
      <c r="C14" s="48" t="n"/>
      <c r="D14" s="48" t="n"/>
      <c r="E14" s="48" t="n"/>
      <c r="F14" s="48" t="n"/>
      <c r="G14" s="48" t="n"/>
      <c r="H14" s="22" t="n">
        <v>3</v>
      </c>
      <c r="I14" s="23" t="inlineStr">
        <is>
          <t>Create a folder structure on your machine: `01-Journal`, `02-Module-Work`, `03-Briefs`, `04-Prototypes`, `05-Reference-Library`.</t>
        </is>
      </c>
      <c r="J14" s="24" t="inlineStr">
        <is>
          <t>Done</t>
        </is>
      </c>
      <c r="K14" s="25" t="n">
        <v>46273</v>
      </c>
      <c r="L14" s="25" t="n">
        <v>46273</v>
      </c>
      <c r="M14" s="26" t="n">
        <v>0.15</v>
      </c>
      <c r="N14" s="48" t="n"/>
      <c r="O14" s="48" t="n"/>
      <c r="P14" s="48" t="n"/>
      <c r="Q14" s="48" t="n"/>
      <c r="R14" s="48" t="n"/>
      <c r="S14" s="48" t="n"/>
    </row>
    <row r="15" ht="42.75" customHeight="1" s="71">
      <c r="A15" s="48" t="n"/>
      <c r="B15" s="48" t="n"/>
      <c r="C15" s="48" t="n"/>
      <c r="D15" s="48" t="n"/>
      <c r="E15" s="48" t="n"/>
      <c r="F15" s="48" t="n"/>
      <c r="G15" s="48" t="n"/>
      <c r="H15" s="22" t="n">
        <v>4</v>
      </c>
      <c r="I15" s="23" t="inlineStr">
        <is>
          <t>Confirm with your mentor which internal tools you have access to today and which arrive later (Cowork, Claude Design, Jira, our internal Skills).</t>
        </is>
      </c>
      <c r="J15" s="24" t="inlineStr">
        <is>
          <t>Done</t>
        </is>
      </c>
      <c r="K15" s="25" t="n">
        <v>46273</v>
      </c>
      <c r="L15" s="25" t="n">
        <v>46273</v>
      </c>
      <c r="M15" s="26" t="n">
        <v>0.05</v>
      </c>
      <c r="N15" s="48" t="n"/>
      <c r="O15" s="48" t="n"/>
      <c r="P15" s="48" t="n"/>
      <c r="Q15" s="48" t="n"/>
      <c r="R15" s="48" t="n"/>
      <c r="S15" s="48" t="n"/>
    </row>
    <row r="16" ht="30" customHeight="1" s="71">
      <c r="A16" s="49" t="n"/>
      <c r="B16" s="49" t="n"/>
      <c r="C16" s="49" t="n"/>
      <c r="D16" s="49" t="n"/>
      <c r="E16" s="49" t="n"/>
      <c r="F16" s="49" t="n"/>
      <c r="G16" s="49" t="n"/>
      <c r="H16" s="27" t="n">
        <v>5</v>
      </c>
      <c r="I16" s="28" t="inlineStr">
        <is>
          <t>Bookmark: the Claude Help Center, Claude Academy, and this plan.</t>
        </is>
      </c>
      <c r="J16" s="29" t="inlineStr">
        <is>
          <t>Done</t>
        </is>
      </c>
      <c r="K16" s="25" t="n">
        <v>46273</v>
      </c>
      <c r="L16" s="25" t="n">
        <v>46273</v>
      </c>
      <c r="M16" s="30" t="n">
        <v>0.05</v>
      </c>
      <c r="N16" s="49" t="n"/>
      <c r="O16" s="49" t="n"/>
      <c r="P16" s="49" t="n"/>
      <c r="Q16" s="49" t="n"/>
      <c r="R16" s="49" t="n"/>
      <c r="S16" s="49" t="n"/>
    </row>
    <row r="17" ht="19.5" customHeight="1" s="71">
      <c r="A17" s="65" t="inlineStr">
        <is>
          <t>0.3</t>
        </is>
      </c>
      <c r="B17" s="54" t="n">
        <v>0</v>
      </c>
      <c r="C17" s="64" t="inlineStr">
        <is>
          <t>Build: Your learning journal</t>
        </is>
      </c>
      <c r="D17" s="54" t="inlineStr">
        <is>
          <t>Build</t>
        </is>
      </c>
      <c r="E17" s="54" t="n">
        <v>2</v>
      </c>
      <c r="F17" s="47">
        <f>IF(COUNTIF($J17:$J21,"Done")=5,"Done",IF(COUNTIF($J17:$J21,"Blocked")&gt;0,"Blocked",IF(COUNTIF($J17:$J21,"To do")=5,"Not started","In progress")))</f>
        <v/>
      </c>
      <c r="G17" s="47">
        <f>IF(SUM($M17:$M21)=0,"",SUM($M17:$M21))</f>
        <v/>
      </c>
      <c r="H17" s="17" t="n">
        <v>1</v>
      </c>
      <c r="I17" s="18" t="inlineStr">
        <is>
          <t>Create a Claude Project called *Phase 1 Learning Journal*.</t>
        </is>
      </c>
      <c r="J17" s="19" t="inlineStr">
        <is>
          <t>Done</t>
        </is>
      </c>
      <c r="K17" s="25" t="n">
        <v>46273</v>
      </c>
      <c r="L17" s="25" t="n">
        <v>46273</v>
      </c>
      <c r="M17" s="21" t="n">
        <v>0.1</v>
      </c>
      <c r="N17" s="53" t="inlineStr">
        <is>
          <t>Set up the one thing that runs through all ten modules — a daily record of what you made, what confused you, and what you want to ask.</t>
        </is>
      </c>
      <c r="O17" s="53" t="inlineStr">
        <is>
          <t>• Journal template: Appendix C of this plan
• Claude Help Center — search "Projects": https://support.claude.com</t>
        </is>
      </c>
      <c r="P17" s="53" t="inlineStr">
        <is>
          <t>Fifteen minutes a day. In week seven you will reread week one and see exactly how far you've come — that evidence is worth more than you'd expect on a hard day.
---
---</t>
        </is>
      </c>
      <c r="Q17" s="53" t="inlineStr">
        <is>
          <t>—</t>
        </is>
      </c>
      <c r="R17" s="67" t="n">
        <v>5</v>
      </c>
      <c r="S17" s="53" t="inlineStr">
        <is>
          <t>After reading Claude's reply, I realized what I had missed and it was fun to read Claude's scolding. Claude's reply: "Looking at the Aug 9 entry: you said you were asked to turn on code execution/file creation under Settings &gt; Capabilities but couldn't find it there.
Did you check whether that toggle lives in your personal account settings at all, or whether it's actually an org-level admin control — something only your account's owner/admin can flip, not an individual user? If you didn't check that distinction, how would you find out who actually has that permission on your account before assuming the feature just doesn't exist?"</t>
        </is>
      </c>
    </row>
    <row r="18" ht="69" customHeight="1" s="71">
      <c r="A18" s="48" t="n"/>
      <c r="B18" s="48" t="n"/>
      <c r="C18" s="48" t="n"/>
      <c r="D18" s="48" t="n"/>
      <c r="E18" s="48" t="n"/>
      <c r="F18" s="48" t="n"/>
      <c r="G18" s="48" t="n"/>
      <c r="H18" s="22" t="n">
        <v>2</v>
      </c>
      <c r="I18" s="23" t="inlineStr">
        <is>
          <t>In the Project's custom instructions, paste something like: *"I'm a junior product manager in my first job, working through a structured onboarding plan. When I share a journal entry, ask me one sharp question about the thing I said confused me. Don't reassure me — help me find the gap."*</t>
        </is>
      </c>
      <c r="J18" s="24" t="inlineStr">
        <is>
          <t>Done</t>
        </is>
      </c>
      <c r="K18" s="25" t="n">
        <v>46273</v>
      </c>
      <c r="L18" s="25" t="n">
        <v>46273</v>
      </c>
      <c r="M18" s="26" t="n">
        <v>0.1</v>
      </c>
      <c r="N18" s="48" t="n"/>
      <c r="O18" s="48" t="n"/>
      <c r="P18" s="48" t="n"/>
      <c r="Q18" s="48" t="n"/>
      <c r="R18" s="48" t="n"/>
      <c r="S18" s="48" t="n"/>
    </row>
    <row r="19" ht="30" customHeight="1" s="71">
      <c r="A19" s="48" t="n"/>
      <c r="B19" s="48" t="n"/>
      <c r="C19" s="48" t="n"/>
      <c r="D19" s="48" t="n"/>
      <c r="E19" s="48" t="n"/>
      <c r="F19" s="48" t="n"/>
      <c r="G19" s="48" t="n"/>
      <c r="H19" s="22" t="n">
        <v>3</v>
      </c>
      <c r="I19" s="23" t="inlineStr">
        <is>
          <t>Copy the journal template from Appendix C into your `01-Journal` folder.</t>
        </is>
      </c>
      <c r="J19" s="24" t="inlineStr">
        <is>
          <t>Done</t>
        </is>
      </c>
      <c r="K19" s="25" t="n">
        <v>46273</v>
      </c>
      <c r="L19" s="25" t="n">
        <v>46273</v>
      </c>
      <c r="M19" s="26" t="inlineStr">
        <is>
          <t>-</t>
        </is>
      </c>
      <c r="N19" s="48" t="n"/>
      <c r="O19" s="48" t="n"/>
      <c r="P19" s="48" t="n"/>
      <c r="Q19" s="48" t="n"/>
      <c r="R19" s="48" t="n"/>
      <c r="S19" s="48" t="n"/>
    </row>
    <row r="20" ht="19.5" customHeight="1" s="71">
      <c r="A20" s="48" t="n"/>
      <c r="B20" s="48" t="n"/>
      <c r="C20" s="48" t="n"/>
      <c r="D20" s="48" t="n"/>
      <c r="E20" s="48" t="n"/>
      <c r="F20" s="48" t="n"/>
      <c r="G20" s="48" t="n"/>
      <c r="H20" s="22" t="n">
        <v>4</v>
      </c>
      <c r="I20" s="23" t="inlineStr">
        <is>
          <t>Write today's entry now, covering Tasks 0.1 and 0.2.</t>
        </is>
      </c>
      <c r="J20" s="24" t="inlineStr">
        <is>
          <t>Done</t>
        </is>
      </c>
      <c r="K20" s="25" t="n">
        <v>46273</v>
      </c>
      <c r="L20" s="25" t="n">
        <v>46273</v>
      </c>
      <c r="M20" s="26" t="n">
        <v>0.25</v>
      </c>
      <c r="N20" s="48" t="n"/>
      <c r="O20" s="48" t="n"/>
      <c r="P20" s="48" t="n"/>
      <c r="Q20" s="48" t="n"/>
      <c r="R20" s="48" t="n"/>
      <c r="S20" s="48" t="n"/>
    </row>
    <row r="21" ht="30" customHeight="1" s="71">
      <c r="A21" s="49" t="n"/>
      <c r="B21" s="49" t="n"/>
      <c r="C21" s="49" t="n"/>
      <c r="D21" s="49" t="n"/>
      <c r="E21" s="49" t="n"/>
      <c r="F21" s="49" t="n"/>
      <c r="G21" s="49" t="n"/>
      <c r="H21" s="27" t="n">
        <v>5</v>
      </c>
      <c r="I21" s="28" t="inlineStr">
        <is>
          <t>Paste it into the Project and see what question Claude asks back.</t>
        </is>
      </c>
      <c r="J21" s="29" t="inlineStr">
        <is>
          <t>Done</t>
        </is>
      </c>
      <c r="K21" s="25" t="n">
        <v>46273</v>
      </c>
      <c r="L21" s="25" t="n">
        <v>46273</v>
      </c>
      <c r="M21" s="30" t="n">
        <v>0.5</v>
      </c>
      <c r="N21" s="49" t="n"/>
      <c r="O21" s="49" t="n"/>
      <c r="P21" s="49" t="n"/>
      <c r="Q21" s="49" t="n"/>
      <c r="R21" s="49" t="n"/>
      <c r="S21" s="49" t="n"/>
    </row>
    <row r="22" ht="19.5" customHeight="1" s="71">
      <c r="A22" s="60" t="inlineStr">
        <is>
          <t>0.4</t>
        </is>
      </c>
      <c r="B22" s="51" t="n">
        <v>0</v>
      </c>
      <c r="C22" s="50" t="inlineStr">
        <is>
          <t>Learn: Transparency at work</t>
        </is>
      </c>
      <c r="D22" s="51" t="inlineStr">
        <is>
          <t>Learn</t>
        </is>
      </c>
      <c r="E22" s="51" t="n">
        <v>2</v>
      </c>
      <c r="F22" s="55">
        <f>IF(COUNTIF($J22:$J26,"Done")=5,"Done",IF(COUNTIF($J22:$J26,"Blocked")&gt;0,"Blocked",IF(COUNTIF($J22:$J26,"To do")=5,"Not started","In progress")))</f>
        <v/>
      </c>
      <c r="G22" s="55">
        <f>IF(SUM($M22:$M26)=0,"",SUM($M22:$M26))</f>
        <v/>
      </c>
      <c r="H22" s="17" t="n">
        <v>1</v>
      </c>
      <c r="I22" s="18" t="inlineStr">
        <is>
          <t>Read the article.</t>
        </is>
      </c>
      <c r="J22" s="19" t="inlineStr">
        <is>
          <t>Done</t>
        </is>
      </c>
      <c r="K22" s="25" t="n">
        <v>46273</v>
      </c>
      <c r="L22" s="25" t="n">
        <v>46273</v>
      </c>
      <c r="M22" s="21" t="n">
        <v>0.5</v>
      </c>
      <c r="N22" s="52" t="inlineStr">
        <is>
          <t>Transparency is the difference between a project that recovers from a problem and one that doesn't. Understand what it actually means in practice — and where its limits are.</t>
        </is>
      </c>
      <c r="O22" s="52" t="inlineStr">
        <is>
          <t>• Indeed: *Being Transparent at Work* — https://www.indeed.com/career-advice/career-development/being-transparent</t>
        </is>
      </c>
      <c r="P22" s="52" t="inlineStr">
        <is>
          <t>The pattern to internalise: the earlier you share something, the more options everyone has. Flagging a deadline risk four days out is genuinely appreciated — it gives the team room to help, and it's exactly what a good colleague does.
---
---</t>
        </is>
      </c>
      <c r="Q22" s="52" t="inlineStr">
        <is>
          <t>—</t>
        </is>
      </c>
      <c r="R22" s="51" t="n">
        <v>5</v>
      </c>
      <c r="S22" s="52" t="inlineStr">
        <is>
          <t>3 situations where speaking up would take courage: when you notice a flaw made by a senior executive, when you make a mistake and are afraid of dealing with the consequences, when you do the major work but struggle to stand up for yourself and hence let someone else take the credit of your work.</t>
        </is>
      </c>
    </row>
    <row r="23" ht="42.75" customHeight="1" s="71">
      <c r="A23" s="48" t="n"/>
      <c r="B23" s="48" t="n"/>
      <c r="C23" s="48" t="n"/>
      <c r="D23" s="48" t="n"/>
      <c r="E23" s="48" t="n"/>
      <c r="F23" s="48" t="n"/>
      <c r="G23" s="48" t="n"/>
      <c r="H23" s="22" t="n">
        <v>2</v>
      </c>
      <c r="I23" s="23" t="inlineStr">
        <is>
          <t>Write down three specific work situations where speaking up would take some courage — for example, realising on a Thursday that a Friday deadline is going to slip.</t>
        </is>
      </c>
      <c r="J23" s="24" t="inlineStr">
        <is>
          <t>Done</t>
        </is>
      </c>
      <c r="K23" s="25" t="n">
        <v>46273</v>
      </c>
      <c r="L23" s="25" t="n">
        <v>46273</v>
      </c>
      <c r="M23" s="26" t="n">
        <v>1</v>
      </c>
      <c r="N23" s="48" t="n"/>
      <c r="O23" s="48" t="n"/>
      <c r="P23" s="48" t="n"/>
      <c r="Q23" s="48" t="n"/>
      <c r="R23" s="48" t="n"/>
      <c r="S23" s="48" t="n"/>
    </row>
    <row r="24" ht="30" customHeight="1" s="71">
      <c r="A24" s="48" t="n"/>
      <c r="B24" s="48" t="n"/>
      <c r="C24" s="48" t="n"/>
      <c r="D24" s="48" t="n"/>
      <c r="E24" s="48" t="n"/>
      <c r="F24" s="48" t="n"/>
      <c r="G24" s="48" t="n"/>
      <c r="H24" s="22" t="n">
        <v>3</v>
      </c>
      <c r="I24" s="23" t="inlineStr">
        <is>
          <t>For each, draft the exact message you'd send. Real words, not a summary.</t>
        </is>
      </c>
      <c r="J24" s="24" t="inlineStr">
        <is>
          <t>Done</t>
        </is>
      </c>
      <c r="K24" s="25" t="n">
        <v>46273</v>
      </c>
      <c r="L24" s="25" t="n">
        <v>46273</v>
      </c>
      <c r="M24" s="26" t="n">
        <v>0.5</v>
      </c>
      <c r="N24" s="48" t="n"/>
      <c r="O24" s="48" t="n"/>
      <c r="P24" s="48" t="n"/>
      <c r="Q24" s="48" t="n"/>
      <c r="R24" s="48" t="n"/>
      <c r="S24" s="48" t="n"/>
    </row>
    <row r="25" ht="55.5" customHeight="1" s="71">
      <c r="A25" s="48" t="n"/>
      <c r="B25" s="48" t="n"/>
      <c r="C25" s="48" t="n"/>
      <c r="D25" s="48" t="n"/>
      <c r="E25" s="48" t="n"/>
      <c r="F25" s="48" t="n"/>
      <c r="G25" s="48" t="n"/>
      <c r="H25" s="22" t="n">
        <v>4</v>
      </c>
      <c r="I25" s="23" t="inlineStr">
        <is>
          <t>Ask Claude: *"Here are three messages a junior product manager might send in situations that take some courage. For each, tell me how it would land with a manager, and rewrite it to be equally honest but more useful."*</t>
        </is>
      </c>
      <c r="J25" s="24" t="inlineStr">
        <is>
          <t>Done</t>
        </is>
      </c>
      <c r="K25" s="25" t="n">
        <v>46273</v>
      </c>
      <c r="L25" s="25" t="n">
        <v>46273</v>
      </c>
      <c r="M25" s="26" t="n">
        <v>0.5</v>
      </c>
      <c r="N25" s="48" t="n"/>
      <c r="O25" s="48" t="n"/>
      <c r="P25" s="48" t="n"/>
      <c r="Q25" s="48" t="n"/>
      <c r="R25" s="48" t="n"/>
      <c r="S25" s="48" t="n"/>
    </row>
    <row r="26" ht="19.5" customHeight="1" s="71">
      <c r="A26" s="49" t="n"/>
      <c r="B26" s="49" t="n"/>
      <c r="C26" s="49" t="n"/>
      <c r="D26" s="49" t="n"/>
      <c r="E26" s="49" t="n"/>
      <c r="F26" s="49" t="n"/>
      <c r="G26" s="49" t="n"/>
      <c r="H26" s="27" t="n">
        <v>5</v>
      </c>
      <c r="I26" s="28" t="inlineStr">
        <is>
          <t>Save the before-and-after pairs in your journal.</t>
        </is>
      </c>
      <c r="J26" s="29" t="inlineStr">
        <is>
          <t>Done</t>
        </is>
      </c>
      <c r="K26" s="25" t="n">
        <v>46273</v>
      </c>
      <c r="L26" s="25" t="n">
        <v>46273</v>
      </c>
      <c r="M26" s="30" t="n">
        <v>0.1</v>
      </c>
      <c r="N26" s="49" t="n"/>
      <c r="O26" s="49" t="n"/>
      <c r="P26" s="49" t="n"/>
      <c r="Q26" s="49" t="n"/>
      <c r="R26" s="49" t="n"/>
      <c r="S26" s="49" t="n"/>
    </row>
    <row r="27" ht="31.5" customHeight="1" s="71">
      <c r="A27" s="65" t="inlineStr">
        <is>
          <t>0.5</t>
        </is>
      </c>
      <c r="B27" s="54" t="n">
        <v>0</v>
      </c>
      <c r="C27" s="64" t="inlineStr">
        <is>
          <t>Learn: Ethics in work and in product</t>
        </is>
      </c>
      <c r="D27" s="54" t="inlineStr">
        <is>
          <t>Learn</t>
        </is>
      </c>
      <c r="E27" s="54" t="n">
        <v>3</v>
      </c>
      <c r="F27" s="47">
        <f>IF(COUNTIF($J27:$J31,"Done")=5,"Done",IF(COUNTIF($J27:$J31,"Blocked")&gt;0,"Blocked",IF(COUNTIF($J27:$J31,"To do")=5,"Not started","In progress")))</f>
        <v/>
      </c>
      <c r="G27" s="47">
        <f>IF(SUM($M27:$M31)=0,"",SUM($M27:$M31))</f>
        <v/>
      </c>
      <c r="H27" s="17" t="n">
        <v>1</v>
      </c>
      <c r="I27" s="18" t="inlineStr">
        <is>
          <t>Read all four articles, then browse the deceptive design pattern types.</t>
        </is>
      </c>
      <c r="J27" s="19" t="inlineStr">
        <is>
          <t>Done</t>
        </is>
      </c>
      <c r="K27" s="25" t="n">
        <v>46274</v>
      </c>
      <c r="L27" s="25" t="n">
        <v>46274</v>
      </c>
      <c r="M27" s="21" t="n">
        <v>1.5</v>
      </c>
      <c r="N27" s="53" t="inlineStr">
        <is>
          <t>As a product manager you decide what gets built, which shapes what thousands of people do. Some of those choices are persuasive; some are manipulative. Learn to tell the difference before you have to make one under deadline pressure.</t>
        </is>
      </c>
      <c r="O27" s="66" t="inlineStr">
        <is>
          <t>• Indeed: *Examples of Ethics* — https://www.indeed.com/career-advice/career-development/example-of-ethics
• HBR: *How to Manipulate Customers... Ethically* — https://hbr.org/2021/10/how-to-manipulate-customers-ethically
• HBR: *How to Be a Leader Who Stays True to Their Ethics* — https://hbr.org/2021/09/how-to-be-a-leader-who-stays-true-to-their-ethics-2
• Planisware: *Project Management Ethics* — https://www.planisware.com/hub/blog/project-management-ethics-essential-ingredient-project-leadership
• Deceptive Design pattern library — https://www.deceptive.design/types</t>
        </is>
      </c>
      <c r="P27" s="53" t="inlineStr">
        <is>
          <t>You will one day be asked to design something that makes cancelling hard. Knowing in advance what you'd say in that moment is the whole point of this task.
---
---</t>
        </is>
      </c>
      <c r="Q27" s="53" t="inlineStr">
        <is>
          <t>—</t>
        </is>
      </c>
      <c r="R27" s="54" t="n"/>
      <c r="S27" s="66" t="inlineStr">
        <is>
          <t>https://docs.google.com/document/d/1Dd713Nui2pXCk6HDFUPmVUjzb743Jvp7Vik2MCzL56Y/edit?usp=sharing</t>
        </is>
      </c>
    </row>
    <row r="28" ht="31.5" customHeight="1" s="71">
      <c r="A28" s="48" t="n"/>
      <c r="B28" s="48" t="n"/>
      <c r="C28" s="48" t="n"/>
      <c r="D28" s="48" t="n"/>
      <c r="E28" s="48" t="n"/>
      <c r="F28" s="48" t="n"/>
      <c r="G28" s="48" t="n"/>
      <c r="H28" s="22" t="n">
        <v>2</v>
      </c>
      <c r="I28" s="23" t="inlineStr">
        <is>
          <t>Pick three dark patterns you've personally encountered in an app you use, and screenshot or describe them.</t>
        </is>
      </c>
      <c r="J28" s="24" t="inlineStr">
        <is>
          <t>Done</t>
        </is>
      </c>
      <c r="K28" s="25" t="n">
        <v>46274</v>
      </c>
      <c r="L28" s="25" t="n">
        <v>46274</v>
      </c>
      <c r="M28" s="26" t="n">
        <v>0.25</v>
      </c>
      <c r="N28" s="48" t="n"/>
      <c r="O28" s="48" t="n"/>
      <c r="P28" s="48" t="n"/>
      <c r="Q28" s="48" t="n"/>
      <c r="R28" s="48" t="n"/>
      <c r="S28" s="48" t="n"/>
    </row>
    <row r="29" ht="31.5" customHeight="1" s="71">
      <c r="A29" s="48" t="n"/>
      <c r="B29" s="48" t="n"/>
      <c r="C29" s="48" t="n"/>
      <c r="D29" s="48" t="n"/>
      <c r="E29" s="48" t="n"/>
      <c r="F29" s="48" t="n"/>
      <c r="G29" s="48" t="n"/>
      <c r="H29" s="22" t="n">
        <v>3</v>
      </c>
      <c r="I29" s="23" t="inlineStr">
        <is>
          <t>For each, write two sentences: what business goal it serves, and what it costs the user.</t>
        </is>
      </c>
      <c r="J29" s="24" t="inlineStr">
        <is>
          <t>Done</t>
        </is>
      </c>
      <c r="K29" s="25" t="n">
        <v>46274</v>
      </c>
      <c r="L29" s="25" t="n">
        <v>46274</v>
      </c>
      <c r="M29" s="26" t="n">
        <v>0.5</v>
      </c>
      <c r="N29" s="48" t="n"/>
      <c r="O29" s="48" t="n"/>
      <c r="P29" s="48" t="n"/>
      <c r="Q29" s="48" t="n"/>
      <c r="R29" s="48" t="n"/>
      <c r="S29" s="48" t="n"/>
    </row>
    <row r="30" ht="31.5" customHeight="1" s="71">
      <c r="A30" s="48" t="n"/>
      <c r="B30" s="48" t="n"/>
      <c r="C30" s="48" t="n"/>
      <c r="D30" s="48" t="n"/>
      <c r="E30" s="48" t="n"/>
      <c r="F30" s="48" t="n"/>
      <c r="G30" s="48" t="n"/>
      <c r="H30" s="22" t="n">
        <v>4</v>
      </c>
      <c r="I30" s="23" t="inlineStr">
        <is>
          <t>Redesign one of them — describe in words how you'd achieve the same business goal honestly.</t>
        </is>
      </c>
      <c r="J30" s="24" t="inlineStr">
        <is>
          <t>Done</t>
        </is>
      </c>
      <c r="K30" s="25" t="n">
        <v>46274</v>
      </c>
      <c r="L30" s="25" t="n">
        <v>46274</v>
      </c>
      <c r="M30" s="26" t="n">
        <v>0.15</v>
      </c>
      <c r="N30" s="48" t="n"/>
      <c r="O30" s="48" t="n"/>
      <c r="P30" s="48" t="n"/>
      <c r="Q30" s="48" t="n"/>
      <c r="R30" s="48" t="n"/>
      <c r="S30" s="48" t="n"/>
    </row>
    <row r="31" ht="57.75" customHeight="1" s="71">
      <c r="A31" s="49" t="n"/>
      <c r="B31" s="49" t="n"/>
      <c r="C31" s="49" t="n"/>
      <c r="D31" s="49" t="n"/>
      <c r="E31" s="49" t="n"/>
      <c r="F31" s="49" t="n"/>
      <c r="G31" s="49" t="n"/>
      <c r="H31" s="27" t="n">
        <v>5</v>
      </c>
      <c r="I31" s="28" t="inlineStr">
        <is>
          <t>Debate it with Claude: *"Argue the strongest case that this pattern is acceptable business practice. Then argue the strongest case against. Don't tell me which side you're on."* Note which argument you found harder to counter.</t>
        </is>
      </c>
      <c r="J31" s="29" t="inlineStr">
        <is>
          <t>Done</t>
        </is>
      </c>
      <c r="K31" s="25" t="n">
        <v>46274</v>
      </c>
      <c r="L31" s="25" t="n">
        <v>46274</v>
      </c>
      <c r="M31" s="30" t="n">
        <v>0.5</v>
      </c>
      <c r="N31" s="49" t="n"/>
      <c r="O31" s="49" t="n"/>
      <c r="P31" s="49" t="n"/>
      <c r="Q31" s="49" t="n"/>
      <c r="R31" s="49" t="n"/>
      <c r="S31" s="49" t="n"/>
    </row>
    <row r="32" ht="30" customHeight="1" s="71">
      <c r="A32" s="60" t="inlineStr">
        <is>
          <t>0.6</t>
        </is>
      </c>
      <c r="B32" s="51" t="n">
        <v>0</v>
      </c>
      <c r="C32" s="50" t="inlineStr">
        <is>
          <t>Practise: How to ask a good question</t>
        </is>
      </c>
      <c r="D32" s="51" t="inlineStr">
        <is>
          <t>Practise</t>
        </is>
      </c>
      <c r="E32" s="51" t="n">
        <v>2</v>
      </c>
      <c r="F32" s="55">
        <f>IF(COUNTIF($J32:$J36,"Done")=5,"Done",IF(COUNTIF($J32:$J36,"Blocked")&gt;0,"Blocked",IF(COUNTIF($J32:$J36,"To do")=5,"Not started","In progress")))</f>
        <v/>
      </c>
      <c r="G32" s="55">
        <f>IF(SUM($M32:$M36)=0,"",SUM($M32:$M36))</f>
        <v/>
      </c>
      <c r="H32" s="17" t="n">
        <v>1</v>
      </c>
      <c r="I32" s="18" t="inlineStr">
        <is>
          <t>Read both, focusing on the XY problem — asking about your attempted solution instead of your actual problem.</t>
        </is>
      </c>
      <c r="J32" s="19" t="inlineStr">
        <is>
          <t>Done</t>
        </is>
      </c>
      <c r="K32" s="25" t="n">
        <v>46274</v>
      </c>
      <c r="L32" s="25" t="n">
        <v>46274</v>
      </c>
      <c r="M32" s="21" t="n">
        <v>0.25</v>
      </c>
      <c r="N32" s="52" t="inlineStr">
        <is>
          <t>The single highest-return skill of your first year. A well-formed question gets you unblocked in two minutes; a vague one costs everyone twenty.</t>
        </is>
      </c>
      <c r="O32" s="52" t="inlineStr">
        <is>
          <t>• *How To Ask Questions The Smart Way* — http://www.catb.org/~esr/faqs/smart-questions.html (dated in tone, still correct in substance)
• The XY problem — https://xyproblem.info/</t>
        </is>
      </c>
      <c r="P32" s="52" t="inlineStr">
        <is>
          <t>Asking well is a sign of competence. Colleagues respond warmly to a clear, well-framed question — it shows you've thought about the problem and you value their time.
---
---</t>
        </is>
      </c>
      <c r="Q32" s="52" t="inlineStr">
        <is>
          <t>—</t>
        </is>
      </c>
      <c r="R32" s="51" t="n"/>
      <c r="S32" s="52" t="inlineStr">
        <is>
          <t>Added this to the Prompt Library as "Blocker template".</t>
        </is>
      </c>
    </row>
    <row r="33" ht="42.75" customHeight="1" s="71">
      <c r="A33" s="48" t="n"/>
      <c r="B33" s="48" t="n"/>
      <c r="C33" s="48" t="n"/>
      <c r="D33" s="48" t="n"/>
      <c r="E33" s="48" t="n"/>
      <c r="F33" s="48" t="n"/>
      <c r="G33" s="48" t="n"/>
      <c r="H33" s="22" t="n">
        <v>2</v>
      </c>
      <c r="I33" s="23" t="inlineStr">
        <is>
          <t>Adopt the 30-minute rule: give it your own best effort for thirty minutes, then ask. Write it at the top of your journal.</t>
        </is>
      </c>
      <c r="J33" s="24" t="inlineStr">
        <is>
          <t>Done</t>
        </is>
      </c>
      <c r="K33" s="25" t="n">
        <v>46274</v>
      </c>
      <c r="L33" s="25" t="n">
        <v>46274</v>
      </c>
      <c r="M33" s="26" t="n">
        <v>0.05</v>
      </c>
      <c r="N33" s="48" t="n"/>
      <c r="O33" s="48" t="n"/>
      <c r="P33" s="48" t="n"/>
      <c r="Q33" s="48" t="n"/>
      <c r="R33" s="48" t="n"/>
      <c r="S33" s="48" t="n"/>
    </row>
    <row r="34" ht="42.75" customHeight="1" s="71">
      <c r="A34" s="48" t="n"/>
      <c r="B34" s="48" t="n"/>
      <c r="C34" s="48" t="n"/>
      <c r="D34" s="48" t="n"/>
      <c r="E34" s="48" t="n"/>
      <c r="F34" s="48" t="n"/>
      <c r="G34" s="48" t="n"/>
      <c r="H34" s="22" t="n">
        <v>3</v>
      </c>
      <c r="I34" s="23" t="inlineStr">
        <is>
          <t>Draft a template for asking a blocker question, containing: what I'm trying to achieve, what I've tried, what happened, what I think the issue is, what I need from you.</t>
        </is>
      </c>
      <c r="J34" s="24" t="inlineStr">
        <is>
          <t>Done</t>
        </is>
      </c>
      <c r="K34" s="25" t="n">
        <v>46274</v>
      </c>
      <c r="L34" s="25" t="n">
        <v>46274</v>
      </c>
      <c r="M34" s="26" t="n">
        <v>0.05</v>
      </c>
      <c r="N34" s="48" t="n"/>
      <c r="O34" s="48" t="n"/>
      <c r="P34" s="48" t="n"/>
      <c r="Q34" s="48" t="n"/>
      <c r="R34" s="48" t="n"/>
      <c r="S34" s="48" t="n"/>
    </row>
    <row r="35" ht="42.75" customHeight="1" s="71">
      <c r="A35" s="48" t="n"/>
      <c r="B35" s="48" t="n"/>
      <c r="C35" s="48" t="n"/>
      <c r="D35" s="48" t="n"/>
      <c r="E35" s="48" t="n"/>
      <c r="F35" s="48" t="n"/>
      <c r="G35" s="48" t="n"/>
      <c r="H35" s="22" t="n">
        <v>4</v>
      </c>
      <c r="I35" s="23" t="inlineStr">
        <is>
          <t>Ask Claude to stress-test it: *"I'm a junior product manager. Here's my template for asking a senior colleague when I'm blocked. Where would this still waste their time?"*</t>
        </is>
      </c>
      <c r="J35" s="24" t="inlineStr">
        <is>
          <t>Done</t>
        </is>
      </c>
      <c r="K35" s="25" t="n">
        <v>46274</v>
      </c>
      <c r="L35" s="25" t="n">
        <v>46274</v>
      </c>
      <c r="M35" s="26" t="n"/>
      <c r="N35" s="48" t="n"/>
      <c r="O35" s="48" t="n"/>
      <c r="P35" s="48" t="n"/>
      <c r="Q35" s="48" t="n"/>
      <c r="R35" s="48" t="n"/>
      <c r="S35" s="48" t="n"/>
    </row>
    <row r="36" ht="30" customHeight="1" s="71">
      <c r="A36" s="49" t="n"/>
      <c r="B36" s="49" t="n"/>
      <c r="C36" s="49" t="n"/>
      <c r="D36" s="49" t="n"/>
      <c r="E36" s="49" t="n"/>
      <c r="F36" s="49" t="n"/>
      <c r="G36" s="49" t="n"/>
      <c r="H36" s="27" t="n">
        <v>5</v>
      </c>
      <c r="I36" s="28" t="inlineStr">
        <is>
          <t>Agree with your mentor how you'll raise blockers — channel, and expected response time.</t>
        </is>
      </c>
      <c r="J36" s="29" t="inlineStr">
        <is>
          <t>Done</t>
        </is>
      </c>
      <c r="K36" s="31" t="n"/>
      <c r="L36" s="31" t="n"/>
      <c r="M36" s="30" t="n"/>
      <c r="N36" s="49" t="n"/>
      <c r="O36" s="49" t="n"/>
      <c r="P36" s="49" t="n"/>
      <c r="Q36" s="49" t="n"/>
      <c r="R36" s="49" t="n"/>
      <c r="S36" s="49" t="n"/>
    </row>
    <row r="37" ht="25.5" customHeight="1" s="71">
      <c r="A37" s="61" t="inlineStr">
        <is>
          <t xml:space="preserve">  Module 1 · Claude Foundations — 22 hrs · 9 tasks</t>
        </is>
      </c>
      <c r="B37" s="62" t="n"/>
      <c r="C37" s="62" t="n"/>
      <c r="D37" s="62" t="n"/>
      <c r="E37" s="62" t="n"/>
      <c r="F37" s="62" t="n"/>
      <c r="G37" s="62" t="n"/>
      <c r="H37" s="62" t="n"/>
      <c r="I37" s="62" t="n"/>
      <c r="J37" s="62" t="n"/>
      <c r="K37" s="62" t="n"/>
      <c r="L37" s="62" t="n"/>
      <c r="M37" s="62" t="n"/>
      <c r="N37" s="62" t="n"/>
      <c r="O37" s="62" t="n"/>
      <c r="P37" s="62" t="n"/>
      <c r="Q37" s="62" t="n"/>
      <c r="R37" s="62" t="n"/>
      <c r="S37" s="63" t="n"/>
    </row>
    <row r="38" ht="18" customHeight="1" s="71">
      <c r="A38" s="59" t="inlineStr">
        <is>
          <t>Goal</t>
        </is>
      </c>
      <c r="B38" s="58" t="n"/>
      <c r="C38" s="56" t="inlineStr">
        <is>
          <t>I can get reliably good work out of Claude, and I know exactly when not to trust it.</t>
        </is>
      </c>
      <c r="D38" s="57" t="n"/>
      <c r="E38" s="57" t="n"/>
      <c r="F38" s="57" t="n"/>
      <c r="G38" s="57" t="n"/>
      <c r="H38" s="57" t="n"/>
      <c r="I38" s="57" t="n"/>
      <c r="J38" s="57" t="n"/>
      <c r="K38" s="57" t="n"/>
      <c r="L38" s="57" t="n"/>
      <c r="M38" s="57" t="n"/>
      <c r="N38" s="57" t="n"/>
      <c r="O38" s="57" t="n"/>
      <c r="P38" s="57" t="n"/>
      <c r="Q38" s="57" t="n"/>
      <c r="R38" s="57" t="n"/>
      <c r="S38" s="58" t="n"/>
    </row>
    <row r="39" ht="18" customHeight="1" s="71">
      <c r="A39" s="59" t="inlineStr">
        <is>
          <t>About</t>
        </is>
      </c>
      <c r="B39" s="58" t="n"/>
      <c r="C39" s="56" t="inlineStr">
        <is>
          <t>Everything after this module runs on the skills built here. You'll go from writing wishful one-liners to constructing prompts that produce usable output first time — and, just as importantly, you'll build the instinct to check. We work with AI constantly, which makes verification a professional obligation, not a nicety.
---</t>
        </is>
      </c>
      <c r="D39" s="57" t="n"/>
      <c r="E39" s="57" t="n"/>
      <c r="F39" s="57" t="n"/>
      <c r="G39" s="57" t="n"/>
      <c r="H39" s="57" t="n"/>
      <c r="I39" s="57" t="n"/>
      <c r="J39" s="57" t="n"/>
      <c r="K39" s="57" t="n"/>
      <c r="L39" s="57" t="n"/>
      <c r="M39" s="57" t="n"/>
      <c r="N39" s="57" t="n"/>
      <c r="O39" s="57" t="n"/>
      <c r="P39" s="57" t="n"/>
      <c r="Q39" s="57" t="n"/>
      <c r="R39" s="57" t="n"/>
      <c r="S39" s="58" t="n"/>
    </row>
    <row r="40" ht="18" customHeight="1" s="71">
      <c r="A40" s="59" t="inlineStr">
        <is>
          <t>Checkpoint</t>
        </is>
      </c>
      <c r="B40" s="58" t="n"/>
      <c r="C40" s="56" t="inlineStr">
        <is>
          <t>Bring: your annotated prompt comparisons, your five-round debugging log, your Chat cheat sheet, your three configured Projects, your verification rule, and your prompt library.
---</t>
        </is>
      </c>
      <c r="D40" s="57" t="n"/>
      <c r="E40" s="57" t="n"/>
      <c r="F40" s="57" t="n"/>
      <c r="G40" s="57" t="n"/>
      <c r="H40" s="57" t="n"/>
      <c r="I40" s="57" t="n"/>
      <c r="J40" s="57" t="n"/>
      <c r="K40" s="57" t="n"/>
      <c r="L40" s="57" t="n"/>
      <c r="M40" s="57" t="n"/>
      <c r="N40" s="57" t="n"/>
      <c r="O40" s="57" t="n"/>
      <c r="P40" s="57" t="n"/>
      <c r="Q40" s="57" t="n"/>
      <c r="R40" s="57" t="n"/>
      <c r="S40" s="58" t="n"/>
    </row>
    <row r="41" ht="30" customHeight="1" s="71">
      <c r="A41" s="65" t="inlineStr">
        <is>
          <t>1.1</t>
        </is>
      </c>
      <c r="B41" s="54" t="n">
        <v>1</v>
      </c>
      <c r="C41" s="64" t="inlineStr">
        <is>
          <t>Learn: What a large language model actually is</t>
        </is>
      </c>
      <c r="D41" s="54" t="inlineStr">
        <is>
          <t>Learn</t>
        </is>
      </c>
      <c r="E41" s="54" t="n">
        <v>2</v>
      </c>
      <c r="F41" s="47">
        <f>IF(COUNTIF($J41:$J45,"Done")=5,"Done",IF(COUNTIF($J41:$J45,"Blocked")&gt;0,"Blocked",IF(COUNTIF($J41:$J45,"To do")=5,"Not started","In progress")))</f>
        <v/>
      </c>
      <c r="G41" s="47">
        <f>IF(SUM($M41:$M45)=0,"",SUM($M41:$M45))</f>
        <v/>
      </c>
      <c r="H41" s="17" t="n">
        <v>1</v>
      </c>
      <c r="I41" s="18" t="inlineStr">
        <is>
          <t>Watch both videos. Don't worry if the maths goes past you; watch for the shape of the idea.</t>
        </is>
      </c>
      <c r="J41" s="19" t="inlineStr">
        <is>
          <t>Done</t>
        </is>
      </c>
      <c r="K41" s="25" t="n">
        <v>46274</v>
      </c>
      <c r="L41" s="25" t="n">
        <v>46274</v>
      </c>
      <c r="M41" s="21" t="n">
        <v>0.5</v>
      </c>
      <c r="N41" s="53" t="inlineStr">
        <is>
          <t>Before prompting well, you need a working mental model of what's happening. Not the mathematics — the behaviour, and why it fails the way it does.</t>
        </is>
      </c>
      <c r="O41" s="53" t="inlineStr">
        <is>
          <t>• *But what is a GPT?* — 3Blue1Brown: https://www.youtube.com/watch?v=wjZofJX0v4M
• *Large Language Models explained briefly* — 3Blue1Brown: https://www.youtube.com/watch?v=LPZh9BOjkQs
• Anthropic: *Claude's Constitution* — https://www.anthropic.com/news/claudes-constitution</t>
        </is>
      </c>
      <c r="P41" s="53" t="inlineStr">
        <is>
          <t>That last question is the important one. Everything in Task 1.8 follows from getting it right.
---
---</t>
        </is>
      </c>
      <c r="Q41" s="53" t="inlineStr">
        <is>
          <t>—</t>
        </is>
      </c>
      <c r="R41" s="54" t="n"/>
      <c r="S41" s="53" t="inlineStr">
        <is>
          <t>Daily notes (Q&amp;A per step): https://docs.google.com/document/d/1HlvGZ7tHs0ez33p8VfDclfm1eAKATlYmoudb2I9wxUw/edit?usp=sharing</t>
        </is>
      </c>
    </row>
    <row r="42" ht="30" customHeight="1" s="71">
      <c r="A42" s="48" t="n"/>
      <c r="B42" s="48" t="n"/>
      <c r="C42" s="48" t="n"/>
      <c r="D42" s="48" t="n"/>
      <c r="E42" s="48" t="n"/>
      <c r="F42" s="48" t="n"/>
      <c r="G42" s="48" t="n"/>
      <c r="H42" s="22" t="n">
        <v>2</v>
      </c>
      <c r="I42" s="23" t="inlineStr">
        <is>
          <t>Write, in five sentences and without jargon, what a language model does when you send it a message.</t>
        </is>
      </c>
      <c r="J42" s="24" t="inlineStr">
        <is>
          <t>Done</t>
        </is>
      </c>
      <c r="K42" s="25" t="n">
        <v>46275</v>
      </c>
      <c r="L42" s="25" t="n">
        <v>46275</v>
      </c>
      <c r="M42" s="26" t="n">
        <v>0.25</v>
      </c>
      <c r="N42" s="48" t="n"/>
      <c r="O42" s="48" t="n"/>
      <c r="P42" s="48" t="n"/>
      <c r="Q42" s="48" t="n"/>
      <c r="R42" s="48" t="n"/>
      <c r="S42" s="48" t="n"/>
    </row>
    <row r="43" ht="55.5" customHeight="1" s="71">
      <c r="A43" s="48" t="n"/>
      <c r="B43" s="48" t="n"/>
      <c r="C43" s="48" t="n"/>
      <c r="D43" s="48" t="n"/>
      <c r="E43" s="48" t="n"/>
      <c r="F43" s="48" t="n"/>
      <c r="G43" s="48" t="n"/>
      <c r="H43" s="22" t="n">
        <v>3</v>
      </c>
      <c r="I43" s="23" t="inlineStr">
        <is>
          <t>Paste your explanation into Claude with: *"I'm a beginner. Here's my explanation of how you work. Correct anything wrong, and tell me which of my misconceptions would most affect how well I prompt you."*</t>
        </is>
      </c>
      <c r="J43" s="24" t="inlineStr">
        <is>
          <t>Done</t>
        </is>
      </c>
      <c r="K43" s="25" t="n">
        <v>46275</v>
      </c>
      <c r="L43" s="25" t="n">
        <v>46275</v>
      </c>
      <c r="M43" s="26" t="n">
        <v>0.15</v>
      </c>
      <c r="N43" s="48" t="n"/>
      <c r="O43" s="48" t="n"/>
      <c r="P43" s="48" t="n"/>
      <c r="Q43" s="48" t="n"/>
      <c r="R43" s="48" t="n"/>
      <c r="S43" s="48" t="n"/>
    </row>
    <row r="44" ht="19.5" customHeight="1" s="71">
      <c r="A44" s="48" t="n"/>
      <c r="B44" s="48" t="n"/>
      <c r="C44" s="48" t="n"/>
      <c r="D44" s="48" t="n"/>
      <c r="E44" s="48" t="n"/>
      <c r="F44" s="48" t="n"/>
      <c r="G44" s="48" t="n"/>
      <c r="H44" s="22" t="n">
        <v>4</v>
      </c>
      <c r="I44" s="23" t="inlineStr">
        <is>
          <t>Write down the three things that most surprised you.</t>
        </is>
      </c>
      <c r="J44" s="24" t="inlineStr">
        <is>
          <t>Done</t>
        </is>
      </c>
      <c r="K44" s="25" t="n">
        <v>46275</v>
      </c>
      <c r="L44" s="25" t="n">
        <v>46275</v>
      </c>
      <c r="M44" s="26" t="n">
        <v>0.1</v>
      </c>
      <c r="N44" s="48" t="n"/>
      <c r="O44" s="48" t="n"/>
      <c r="P44" s="48" t="n"/>
      <c r="Q44" s="48" t="n"/>
      <c r="R44" s="48" t="n"/>
      <c r="S44" s="48" t="n"/>
    </row>
    <row r="45" ht="30" customHeight="1" s="71">
      <c r="A45" s="49" t="n"/>
      <c r="B45" s="49" t="n"/>
      <c r="C45" s="49" t="n"/>
      <c r="D45" s="49" t="n"/>
      <c r="E45" s="49" t="n"/>
      <c r="F45" s="49" t="n"/>
      <c r="G45" s="49" t="n"/>
      <c r="H45" s="27" t="n">
        <v>5</v>
      </c>
      <c r="I45" s="28" t="inlineStr">
        <is>
          <t>Answer in your journal: *given how this works, why would a model ever state something false with confidence?*</t>
        </is>
      </c>
      <c r="J45" s="29" t="inlineStr">
        <is>
          <t>Done</t>
        </is>
      </c>
      <c r="K45" s="31" t="n">
        <v>46275</v>
      </c>
      <c r="L45" s="31" t="n">
        <v>46275</v>
      </c>
      <c r="M45" s="30" t="n">
        <v>0.15</v>
      </c>
      <c r="N45" s="49" t="n"/>
      <c r="O45" s="49" t="n"/>
      <c r="P45" s="49" t="n"/>
      <c r="Q45" s="49" t="n"/>
      <c r="R45" s="49" t="n"/>
      <c r="S45" s="49" t="n"/>
    </row>
    <row r="46" ht="19.5" customHeight="1" s="71">
      <c r="A46" s="60" t="inlineStr">
        <is>
          <t>1.2</t>
        </is>
      </c>
      <c r="B46" s="51" t="n">
        <v>1</v>
      </c>
      <c r="C46" s="50" t="inlineStr">
        <is>
          <t>Learn: The anatomy of a prompt</t>
        </is>
      </c>
      <c r="D46" s="51" t="inlineStr">
        <is>
          <t>Learn</t>
        </is>
      </c>
      <c r="E46" s="51" t="n">
        <v>3</v>
      </c>
      <c r="F46" s="55">
        <f>IF(COUNTIF($J46:$J50,"Done")=5,"Done",IF(COUNTIF($J46:$J50,"Blocked")&gt;0,"Blocked",IF(COUNTIF($J46:$J50,"To do")=5,"Not started","In progress")))</f>
        <v/>
      </c>
      <c r="G46" s="55">
        <f>IF(SUM($M46:$M50)=0,"",SUM($M46:$M50))</f>
        <v/>
      </c>
      <c r="H46" s="17" t="n">
        <v>1</v>
      </c>
      <c r="I46" s="18" t="inlineStr">
        <is>
          <t>Read the overview, then the first half of best practices.</t>
        </is>
      </c>
      <c r="J46" s="19" t="inlineStr">
        <is>
          <t>Done</t>
        </is>
      </c>
      <c r="K46" s="20" t="n">
        <v>46275</v>
      </c>
      <c r="L46" s="20" t="n">
        <v>46275</v>
      </c>
      <c r="M46" s="21" t="n">
        <v>0.5</v>
      </c>
      <c r="N46" s="52" t="inlineStr">
        <is>
          <t>A good prompt has parts. Once you can name them, writing one stops being guesswork.</t>
        </is>
      </c>
      <c r="O46" s="52" t="inlineStr">
        <is>
          <t>• Prompt engineering overview — https://docs.claude.com/en/docs/build-with-claude/prompt-engineering/overview
• Prompting best practices — https://platform.claude.com/docs/en/build-with-claude/prompt-engineering/claude-prompting-best-practices</t>
        </is>
      </c>
      <c r="P46" s="52" t="inlineStr">
        <is>
          <t>Keep the annotated comparisons somewhere easy to find. You'll come back to them in Task 1.4 when you start diagnosing prompts that aren't working — having your own worked examples to compare against is much faster than starting from scratch each time.
---
---</t>
        </is>
      </c>
      <c r="Q46" s="52" t="inlineStr">
        <is>
          <t>—</t>
        </is>
      </c>
      <c r="R46" s="51" t="n"/>
      <c r="S46" s="52" t="inlineStr">
        <is>
          <t>Default skeleton: Role · Context · Task · Format · Constraints. (Also saved to Prompt Library as "Default skeleton".)</t>
        </is>
      </c>
    </row>
    <row r="47" ht="30" customHeight="1" s="71">
      <c r="A47" s="48" t="n"/>
      <c r="B47" s="48" t="n"/>
      <c r="C47" s="48" t="n"/>
      <c r="D47" s="48" t="n"/>
      <c r="E47" s="48" t="n"/>
      <c r="F47" s="48" t="n"/>
      <c r="G47" s="48" t="n"/>
      <c r="H47" s="22" t="n">
        <v>2</v>
      </c>
      <c r="I47" s="23" t="inlineStr">
        <is>
          <t>Write down the five components you'll use as your default skeleton: role, context, task, format, constraints.</t>
        </is>
      </c>
      <c r="J47" s="24" t="inlineStr">
        <is>
          <t>Done</t>
        </is>
      </c>
      <c r="K47" s="25" t="n">
        <v>46275</v>
      </c>
      <c r="L47" s="25" t="n">
        <v>46275</v>
      </c>
      <c r="M47" s="26" t="n">
        <v>0.1</v>
      </c>
      <c r="N47" s="48" t="n"/>
      <c r="O47" s="48" t="n"/>
      <c r="P47" s="48" t="n"/>
      <c r="Q47" s="48" t="n"/>
      <c r="R47" s="48" t="n"/>
      <c r="S47" s="48" t="n"/>
    </row>
    <row r="48" ht="30" customHeight="1" s="71">
      <c r="A48" s="48" t="n"/>
      <c r="B48" s="48" t="n"/>
      <c r="C48" s="48" t="n"/>
      <c r="D48" s="48" t="n"/>
      <c r="E48" s="48" t="n"/>
      <c r="F48" s="48" t="n"/>
      <c r="G48" s="48" t="n"/>
      <c r="H48" s="22" t="n">
        <v>3</v>
      </c>
      <c r="I48" s="23" t="inlineStr">
        <is>
          <t>Take a deliberately lazy prompt — *"write about design systems"* — and rewrite it using all five components.</t>
        </is>
      </c>
      <c r="J48" s="24" t="inlineStr">
        <is>
          <t>Done</t>
        </is>
      </c>
      <c r="K48" s="25" t="n">
        <v>46275</v>
      </c>
      <c r="L48" s="25" t="n">
        <v>46275</v>
      </c>
      <c r="M48" s="26" t="n">
        <v>0.25</v>
      </c>
      <c r="N48" s="48" t="n"/>
      <c r="O48" s="48" t="n"/>
      <c r="P48" s="48" t="n"/>
      <c r="Q48" s="48" t="n"/>
      <c r="R48" s="48" t="n"/>
      <c r="S48" s="48" t="n"/>
    </row>
    <row r="49" ht="30" customHeight="1" s="71">
      <c r="A49" s="48" t="n"/>
      <c r="B49" s="48" t="n"/>
      <c r="C49" s="48" t="n"/>
      <c r="D49" s="48" t="n"/>
      <c r="E49" s="48" t="n"/>
      <c r="F49" s="48" t="n"/>
      <c r="G49" s="48" t="n"/>
      <c r="H49" s="22" t="n">
        <v>4</v>
      </c>
      <c r="I49" s="23" t="inlineStr">
        <is>
          <t>Run both. Put the two outputs side by side in a document and annotate five concrete differences.</t>
        </is>
      </c>
      <c r="J49" s="24" t="inlineStr">
        <is>
          <t>Done</t>
        </is>
      </c>
      <c r="K49" s="25" t="n">
        <v>46275</v>
      </c>
      <c r="L49" s="25" t="n">
        <v>46275</v>
      </c>
      <c r="M49" s="26" t="n">
        <v>0.5</v>
      </c>
      <c r="N49" s="48" t="n"/>
      <c r="O49" s="48" t="n"/>
      <c r="P49" s="48" t="n"/>
      <c r="Q49" s="48" t="n"/>
      <c r="R49" s="48" t="n"/>
      <c r="S49" s="48" t="n"/>
    </row>
    <row r="50" ht="19.5" customHeight="1" s="71">
      <c r="A50" s="49" t="n"/>
      <c r="B50" s="49" t="n"/>
      <c r="C50" s="49" t="n"/>
      <c r="D50" s="49" t="n"/>
      <c r="E50" s="49" t="n"/>
      <c r="F50" s="49" t="n"/>
      <c r="G50" s="49" t="n"/>
      <c r="H50" s="27" t="n">
        <v>5</v>
      </c>
      <c r="I50" s="28" t="inlineStr">
        <is>
          <t>Repeat for two more lazy prompts of your own invention.</t>
        </is>
      </c>
      <c r="J50" s="29" t="inlineStr">
        <is>
          <t>Done</t>
        </is>
      </c>
      <c r="K50" s="31" t="n">
        <v>46275</v>
      </c>
      <c r="L50" s="31" t="n">
        <v>46275</v>
      </c>
      <c r="M50" s="30" t="n">
        <v>0.75</v>
      </c>
      <c r="N50" s="49" t="n"/>
      <c r="O50" s="49" t="n"/>
      <c r="P50" s="49" t="n"/>
      <c r="Q50" s="49" t="n"/>
      <c r="R50" s="49" t="n"/>
      <c r="S50" s="49" t="n"/>
    </row>
    <row r="51" ht="30" customHeight="1" s="71">
      <c r="A51" s="65" t="inlineStr">
        <is>
          <t>1.3</t>
        </is>
      </c>
      <c r="B51" s="54" t="n">
        <v>1</v>
      </c>
      <c r="C51" s="64" t="inlineStr">
        <is>
          <t>Learn: Prompting techniques, properly</t>
        </is>
      </c>
      <c r="D51" s="54" t="inlineStr">
        <is>
          <t>Learn</t>
        </is>
      </c>
      <c r="E51" s="54" t="n">
        <v>3</v>
      </c>
      <c r="F51" s="47">
        <f>IF(COUNTIF($J51:$J55,"Done")=5,"Done",IF(COUNTIF($J51:$J55,"Blocked")&gt;0,"Blocked",IF(COUNTIF($J51:$J55,"To do")=5,"Not started","In progress")))</f>
        <v/>
      </c>
      <c r="G51" s="47">
        <f>IF(SUM($M51:$M55)=0,"",SUM($M51:$M55))</f>
        <v/>
      </c>
      <c r="H51" s="17" t="n">
        <v>1</v>
      </c>
      <c r="I51" s="18" t="inlineStr">
        <is>
          <t>Read the full best-practices page, listing each technique and one line on when to use it.</t>
        </is>
      </c>
      <c r="J51" s="19" t="inlineStr">
        <is>
          <t>Done</t>
        </is>
      </c>
      <c r="K51" s="20" t="n">
        <v>46275</v>
      </c>
      <c r="L51" s="20" t="n">
        <v>46275</v>
      </c>
      <c r="M51" s="21" t="n">
        <v>0.5</v>
      </c>
      <c r="N51" s="53" t="inlineStr">
        <is>
          <t>Beyond structure there are specific techniques — examples, XML tags, step-by-step reasoning, role framing, chaining. Learn what each is for.</t>
        </is>
      </c>
      <c r="O51" s="53" t="inlineStr">
        <is>
          <t>• Prompting best practices (full) — https://platform.claude.com/docs/en/build-with-claude/prompt-engineering/claude-prompting-best-practices
• Anthropic prompt library — https://docs.claude.com/en/resources/prompt-library/library
• Claude Academy — https://academy.claude.com</t>
        </is>
      </c>
      <c r="P51" s="53" t="inlineStr">
        <is>
          <t>The lesson is that more technique is not automatically better. Knowing when a simple prompt is enough is part of the skill.
---
---</t>
        </is>
      </c>
      <c r="Q51" s="53" t="inlineStr">
        <is>
          <t>—</t>
        </is>
      </c>
      <c r="R51" s="54" t="n"/>
      <c r="S51" s="53" t="n"/>
    </row>
    <row r="52" ht="30" customHeight="1" s="71">
      <c r="A52" s="48" t="n"/>
      <c r="B52" s="48" t="n"/>
      <c r="C52" s="48" t="n"/>
      <c r="D52" s="48" t="n"/>
      <c r="E52" s="48" t="n"/>
      <c r="F52" s="48" t="n"/>
      <c r="G52" s="48" t="n"/>
      <c r="H52" s="22" t="n">
        <v>2</v>
      </c>
      <c r="I52" s="23" t="inlineStr">
        <is>
          <t>Browse at least ten prompts in the prompt library and note the structural patterns you see repeatedly.</t>
        </is>
      </c>
      <c r="J52" s="24" t="inlineStr">
        <is>
          <t>Done</t>
        </is>
      </c>
      <c r="K52" s="25" t="n">
        <v>46275</v>
      </c>
      <c r="L52" s="25" t="n">
        <v>46275</v>
      </c>
      <c r="M52" s="26" t="n">
        <v>0.25</v>
      </c>
      <c r="N52" s="48" t="n"/>
      <c r="O52" s="48" t="n"/>
      <c r="P52" s="48" t="n"/>
      <c r="Q52" s="48" t="n"/>
      <c r="R52" s="48" t="n"/>
      <c r="S52" s="48" t="n"/>
    </row>
    <row r="53" ht="55.5" customHeight="1" s="71">
      <c r="A53" s="48" t="n"/>
      <c r="B53" s="48" t="n"/>
      <c r="C53" s="48" t="n"/>
      <c r="D53" s="48" t="n"/>
      <c r="E53" s="48" t="n"/>
      <c r="F53" s="48" t="n"/>
      <c r="G53" s="48" t="n"/>
      <c r="H53" s="22" t="n">
        <v>3</v>
      </c>
      <c r="I53" s="23" t="inlineStr">
        <is>
          <t>Pick one task — *"summarise a client meeting into action items"* — and write four versions of the prompt: bare, with examples, with XML-tagged structure, and with explicit step-by-step instructions.</t>
        </is>
      </c>
      <c r="J53" s="24" t="inlineStr">
        <is>
          <t>Done</t>
        </is>
      </c>
      <c r="K53" s="25" t="n">
        <v>46275</v>
      </c>
      <c r="L53" s="25" t="n">
        <v>46275</v>
      </c>
      <c r="M53" s="26" t="n">
        <v>0.5</v>
      </c>
      <c r="N53" s="48" t="n"/>
      <c r="O53" s="48" t="n"/>
      <c r="P53" s="48" t="n"/>
      <c r="Q53" s="48" t="n"/>
      <c r="R53" s="48" t="n"/>
      <c r="S53" s="48" t="n"/>
    </row>
    <row r="54" ht="30" customHeight="1" s="71">
      <c r="A54" s="48" t="n"/>
      <c r="B54" s="48" t="n"/>
      <c r="C54" s="48" t="n"/>
      <c r="D54" s="48" t="n"/>
      <c r="E54" s="48" t="n"/>
      <c r="F54" s="48" t="n"/>
      <c r="G54" s="48" t="n"/>
      <c r="H54" s="22" t="n">
        <v>4</v>
      </c>
      <c r="I54" s="23" t="inlineStr">
        <is>
          <t>Run all four on the same fictional meeting notes and rank the outputs.</t>
        </is>
      </c>
      <c r="J54" s="24" t="inlineStr">
        <is>
          <t>Done</t>
        </is>
      </c>
      <c r="K54" s="25" t="n">
        <v>46275</v>
      </c>
      <c r="L54" s="25" t="n">
        <v>46275</v>
      </c>
      <c r="M54" s="26" t="n">
        <v>0.25</v>
      </c>
      <c r="N54" s="48" t="n"/>
      <c r="O54" s="48" t="n"/>
      <c r="P54" s="48" t="n"/>
      <c r="Q54" s="48" t="n"/>
      <c r="R54" s="48" t="n"/>
      <c r="S54" s="48" t="n"/>
    </row>
    <row r="55" ht="30" customHeight="1" s="71">
      <c r="A55" s="49" t="n"/>
      <c r="B55" s="49" t="n"/>
      <c r="C55" s="49" t="n"/>
      <c r="D55" s="49" t="n"/>
      <c r="E55" s="49" t="n"/>
      <c r="F55" s="49" t="n"/>
      <c r="G55" s="49" t="n"/>
      <c r="H55" s="27" t="n">
        <v>5</v>
      </c>
      <c r="I55" s="28" t="inlineStr">
        <is>
          <t>Write one paragraph on which technique earned its complexity and which didn't.</t>
        </is>
      </c>
      <c r="J55" s="29" t="inlineStr">
        <is>
          <t>Done</t>
        </is>
      </c>
      <c r="K55" s="31" t="n">
        <v>46275</v>
      </c>
      <c r="L55" s="31" t="n">
        <v>46275</v>
      </c>
      <c r="M55" s="30" t="n">
        <v>0.15</v>
      </c>
      <c r="N55" s="49" t="n"/>
      <c r="O55" s="49" t="n"/>
      <c r="P55" s="49" t="n"/>
      <c r="Q55" s="49" t="n"/>
      <c r="R55" s="49" t="n"/>
      <c r="S55" s="49" t="n"/>
    </row>
    <row r="56" ht="42.75" customHeight="1" s="71">
      <c r="A56" s="60" t="inlineStr">
        <is>
          <t>1.4</t>
        </is>
      </c>
      <c r="B56" s="51" t="n">
        <v>1</v>
      </c>
      <c r="C56" s="50" t="inlineStr">
        <is>
          <t>Practise: Debugging a prompt that isn't working</t>
        </is>
      </c>
      <c r="D56" s="51" t="inlineStr">
        <is>
          <t>Practise</t>
        </is>
      </c>
      <c r="E56" s="51" t="n">
        <v>2</v>
      </c>
      <c r="F56" s="55">
        <f>IF(COUNTIF($J56:$J60,"Done")=5,"Done",IF(COUNTIF($J56:$J60,"Blocked")&gt;0,"Blocked",IF(COUNTIF($J56:$J60,"To do")=5,"Not started","In progress")))</f>
        <v/>
      </c>
      <c r="G56" s="55">
        <f>IF(SUM($M56:$M60)=0,"",SUM($M56:$M60))</f>
        <v/>
      </c>
      <c r="H56" s="17" t="n">
        <v>1</v>
      </c>
      <c r="I56" s="18" t="inlineStr">
        <is>
          <t>Ask Claude for something genuinely hard: *"Write onboarding copy for a pet-sitting app aimed at anxious first-time users."*</t>
        </is>
      </c>
      <c r="J56" s="19" t="inlineStr">
        <is>
          <t>Done</t>
        </is>
      </c>
      <c r="K56" s="20" t="n">
        <v>46275</v>
      </c>
      <c r="L56" s="20" t="n">
        <v>46275</v>
      </c>
      <c r="M56" s="21" t="n">
        <v>0.1</v>
      </c>
      <c r="N56" s="52" t="inlineStr">
        <is>
          <t>Prompting is iterative. The skill is diagnosing *why* the output is wrong and changing exactly one thing.</t>
        </is>
      </c>
      <c r="O56" s="52" t="inlineStr">
        <is>
          <t>• Prompting best practices — https://platform.claude.com/docs/en/build-with-claude/prompt-engineering/claude-prompting-best-practices</t>
        </is>
      </c>
      <c r="P56" s="52" t="inlineStr">
        <is>
          <t>Changing three things at once is the most common beginner error — you get a better answer and learn nothing about why.
---
---</t>
        </is>
      </c>
      <c r="Q56" s="52" t="inlineStr">
        <is>
          <t>—</t>
        </is>
      </c>
      <c r="R56" s="51" t="n"/>
      <c r="S56" s="52" t="n"/>
    </row>
    <row r="57" ht="30" customHeight="1" s="71">
      <c r="A57" s="48" t="n"/>
      <c r="B57" s="48" t="n"/>
      <c r="C57" s="48" t="n"/>
      <c r="D57" s="48" t="n"/>
      <c r="E57" s="48" t="n"/>
      <c r="F57" s="48" t="n"/>
      <c r="G57" s="48" t="n"/>
      <c r="H57" s="22" t="n">
        <v>2</v>
      </c>
      <c r="I57" s="23" t="inlineStr">
        <is>
          <t>Judge the output against three criteria you write down *before* reading it.</t>
        </is>
      </c>
      <c r="J57" s="24" t="inlineStr">
        <is>
          <t>Done</t>
        </is>
      </c>
      <c r="K57" s="25" t="n">
        <v>46275</v>
      </c>
      <c r="L57" s="25" t="n">
        <v>46275</v>
      </c>
      <c r="M57" s="26" t="n">
        <v>0.15</v>
      </c>
      <c r="N57" s="48" t="n"/>
      <c r="O57" s="48" t="n"/>
      <c r="P57" s="48" t="n"/>
      <c r="Q57" s="48" t="n"/>
      <c r="R57" s="48" t="n"/>
      <c r="S57" s="48" t="n"/>
    </row>
    <row r="58" ht="42.75" customHeight="1" s="71">
      <c r="A58" s="48" t="n"/>
      <c r="B58" s="48" t="n"/>
      <c r="C58" s="48" t="n"/>
      <c r="D58" s="48" t="n"/>
      <c r="E58" s="48" t="n"/>
      <c r="F58" s="48" t="n"/>
      <c r="G58" s="48" t="n"/>
      <c r="H58" s="22" t="n">
        <v>3</v>
      </c>
      <c r="I58" s="23" t="inlineStr">
        <is>
          <t>Identify the single biggest gap between what you wanted and what you got, change one thing in the prompt to address it, and rerun.</t>
        </is>
      </c>
      <c r="J58" s="24" t="inlineStr">
        <is>
          <t>Done</t>
        </is>
      </c>
      <c r="K58" s="25" t="n">
        <v>46275</v>
      </c>
      <c r="L58" s="25" t="n">
        <v>46275</v>
      </c>
      <c r="M58" s="26" t="n">
        <v>0.25</v>
      </c>
      <c r="N58" s="48" t="n"/>
      <c r="O58" s="48" t="n"/>
      <c r="P58" s="48" t="n"/>
      <c r="Q58" s="48" t="n"/>
      <c r="R58" s="48" t="n"/>
      <c r="S58" s="48" t="n"/>
    </row>
    <row r="59" ht="30" customHeight="1" s="71">
      <c r="A59" s="48" t="n"/>
      <c r="B59" s="48" t="n"/>
      <c r="C59" s="48" t="n"/>
      <c r="D59" s="48" t="n"/>
      <c r="E59" s="48" t="n"/>
      <c r="F59" s="48" t="n"/>
      <c r="G59" s="48" t="n"/>
      <c r="H59" s="22" t="n">
        <v>4</v>
      </c>
      <c r="I59" s="23" t="inlineStr">
        <is>
          <t>Repeat five rounds, saving every prompt and output in order.</t>
        </is>
      </c>
      <c r="J59" s="24" t="inlineStr">
        <is>
          <t>Done</t>
        </is>
      </c>
      <c r="K59" s="25" t="n">
        <v>46275</v>
      </c>
      <c r="L59" s="25" t="n">
        <v>46275</v>
      </c>
      <c r="M59" s="26" t="n">
        <v>1</v>
      </c>
      <c r="N59" s="48" t="n"/>
      <c r="O59" s="48" t="n"/>
      <c r="P59" s="48" t="n"/>
      <c r="Q59" s="48" t="n"/>
      <c r="R59" s="48" t="n"/>
      <c r="S59" s="48" t="n"/>
    </row>
    <row r="60" ht="42.75" customHeight="1" s="71">
      <c r="A60" s="49" t="n"/>
      <c r="B60" s="49" t="n"/>
      <c r="C60" s="49" t="n"/>
      <c r="D60" s="49" t="n"/>
      <c r="E60" s="49" t="n"/>
      <c r="F60" s="49" t="n"/>
      <c r="G60" s="49" t="n"/>
      <c r="H60" s="27" t="n">
        <v>5</v>
      </c>
      <c r="I60" s="28" t="inlineStr">
        <is>
          <t>Write down the diagnosis at each round: was the problem missing context, missing constraints, wrong format, or an unclear task?</t>
        </is>
      </c>
      <c r="J60" s="29" t="inlineStr">
        <is>
          <t>Done</t>
        </is>
      </c>
      <c r="K60" s="31" t="n">
        <v>46275</v>
      </c>
      <c r="L60" s="31" t="n">
        <v>46275</v>
      </c>
      <c r="M60" s="30" t="n">
        <v>0.25</v>
      </c>
      <c r="N60" s="49" t="n"/>
      <c r="O60" s="49" t="n"/>
      <c r="P60" s="49" t="n"/>
      <c r="Q60" s="49" t="n"/>
      <c r="R60" s="49" t="n"/>
      <c r="S60" s="49" t="n"/>
    </row>
    <row r="61" ht="55.5" customHeight="1" s="71">
      <c r="A61" s="65" t="inlineStr">
        <is>
          <t>1.5</t>
        </is>
      </c>
      <c r="B61" s="54" t="n">
        <v>1</v>
      </c>
      <c r="C61" s="64" t="inlineStr">
        <is>
          <t>Learn: What Claude Chat can actually do</t>
        </is>
      </c>
      <c r="D61" s="54" t="inlineStr">
        <is>
          <t>Learn</t>
        </is>
      </c>
      <c r="E61" s="54" t="n">
        <v>2</v>
      </c>
      <c r="F61" s="47">
        <f>IF(COUNTIF($J61:$J65,"Done")=5,"Done",IF(COUNTIF($J61:$J65,"Blocked")&gt;0,"Blocked",IF(COUNTIF($J61:$J65,"To do")=5,"Not started","In progress")))</f>
        <v/>
      </c>
      <c r="G61" s="47">
        <f>IF(SUM($M61:$M65)=0,"",SUM($M61:$M65))</f>
        <v/>
      </c>
      <c r="H61" s="17" t="n">
        <v>1</v>
      </c>
      <c r="I61" s="18" t="inlineStr">
        <is>
          <t>Ask Claude directly: *"List everything you can do inside this chat interface — attachments, search, artifacts, thinking, styles, memory — and for each, one example of when a product manager would want it."*</t>
        </is>
      </c>
      <c r="J61" s="19" t="inlineStr">
        <is>
          <t>Done</t>
        </is>
      </c>
      <c r="K61" s="20" t="n">
        <v>46275</v>
      </c>
      <c r="L61" s="20" t="n">
        <v>46275</v>
      </c>
      <c r="M61" s="21" t="n">
        <v>0.1</v>
      </c>
      <c r="N61" s="53" t="inlineStr">
        <is>
          <t>Beyond text, Chat has artifacts, web search, file upload, extended thinking and more. Knowing the surface area stops you doing things the hard way.</t>
        </is>
      </c>
      <c r="O61" s="53" t="inlineStr">
        <is>
          <t>• Claude Help Center — https://support.claude.com
• Claude Academy — https://academy.claude.com</t>
        </is>
      </c>
      <c r="P61" s="53" t="inlineStr">
        <is>
          <t>Step 2 is not busywork — it's your first live demonstration that a confident answer still needs checking.
---
---</t>
        </is>
      </c>
      <c r="Q61" s="53" t="inlineStr">
        <is>
          <t>—</t>
        </is>
      </c>
      <c r="R61" s="54" t="n"/>
      <c r="S61" s="53" t="inlineStr">
        <is>
          <t>Step 3 done — tried all 6 capabilities with real questions: attachments (summarized the PMI Code of Ethics PDF), web search (latest AI-sector innovation news), artifacts (built a BMI calculator page), extended thinking (how AI integration is changing the PM skill set), styles (drafted a mentor update in my own voice), memory (recalled the Excel file name from earlier in-conversation context — noted this tests in-chat context, not true cross-session Memory).</t>
        </is>
      </c>
    </row>
    <row r="62" ht="30" customHeight="1" s="71">
      <c r="A62" s="48" t="n"/>
      <c r="B62" s="48" t="n"/>
      <c r="C62" s="48" t="n"/>
      <c r="D62" s="48" t="n"/>
      <c r="E62" s="48" t="n"/>
      <c r="F62" s="48" t="n"/>
      <c r="G62" s="48" t="n"/>
      <c r="H62" s="22" t="n">
        <v>2</v>
      </c>
      <c r="I62" s="23" t="inlineStr">
        <is>
          <t>Verify each claim against the Help Center, and note any that turn out to be wrong or outdated.</t>
        </is>
      </c>
      <c r="J62" s="24" t="inlineStr">
        <is>
          <t>Done</t>
        </is>
      </c>
      <c r="K62" s="25" t="n">
        <v>46275</v>
      </c>
      <c r="L62" s="25" t="n">
        <v>46275</v>
      </c>
      <c r="M62" s="26" t="n">
        <v>0.5</v>
      </c>
      <c r="N62" s="48" t="n"/>
      <c r="O62" s="48" t="n"/>
      <c r="P62" s="48" t="n"/>
      <c r="Q62" s="48" t="n"/>
      <c r="R62" s="48" t="n"/>
      <c r="S62" s="48" t="n"/>
    </row>
    <row r="63" ht="30" customHeight="1" s="71">
      <c r="A63" s="48" t="n"/>
      <c r="B63" s="48" t="n"/>
      <c r="C63" s="48" t="n"/>
      <c r="D63" s="48" t="n"/>
      <c r="E63" s="48" t="n"/>
      <c r="F63" s="48" t="n"/>
      <c r="G63" s="48" t="n"/>
      <c r="H63" s="22" t="n">
        <v>3</v>
      </c>
      <c r="I63" s="23" t="inlineStr">
        <is>
          <t>Try each capability at least once with a real question of your own.</t>
        </is>
      </c>
      <c r="J63" s="24" t="inlineStr">
        <is>
          <t>Done</t>
        </is>
      </c>
      <c r="K63" s="25" t="n">
        <v>46275</v>
      </c>
      <c r="L63" s="25" t="n">
        <v>46275</v>
      </c>
      <c r="M63" s="26" t="n">
        <v>0.75</v>
      </c>
      <c r="N63" s="48" t="n"/>
      <c r="O63" s="48" t="n"/>
      <c r="P63" s="48" t="n"/>
      <c r="Q63" s="48" t="n"/>
      <c r="R63" s="48" t="n"/>
      <c r="S63" s="48" t="n"/>
    </row>
    <row r="64" ht="19.5" customHeight="1" s="71">
      <c r="A64" s="48" t="n"/>
      <c r="B64" s="48" t="n"/>
      <c r="C64" s="48" t="n"/>
      <c r="D64" s="48" t="n"/>
      <c r="E64" s="48" t="n"/>
      <c r="F64" s="48" t="n"/>
      <c r="G64" s="48" t="n"/>
      <c r="H64" s="22" t="n">
        <v>4</v>
      </c>
      <c r="I64" s="23" t="inlineStr">
        <is>
          <t>Upload a PDF or image and ask three questions about it.</t>
        </is>
      </c>
      <c r="J64" s="24" t="inlineStr">
        <is>
          <t>Done</t>
        </is>
      </c>
      <c r="K64" s="25" t="n">
        <v>46276</v>
      </c>
      <c r="L64" s="25" t="n">
        <v>46276</v>
      </c>
      <c r="M64" s="26" t="n">
        <v>0.25</v>
      </c>
      <c r="N64" s="48" t="n"/>
      <c r="O64" s="48" t="n"/>
      <c r="P64" s="48" t="n"/>
      <c r="Q64" s="48" t="n"/>
      <c r="R64" s="48" t="n"/>
      <c r="S64" s="48" t="n"/>
    </row>
    <row r="65" ht="30" customHeight="1" s="71">
      <c r="A65" s="49" t="n"/>
      <c r="B65" s="49" t="n"/>
      <c r="C65" s="49" t="n"/>
      <c r="D65" s="49" t="n"/>
      <c r="E65" s="49" t="n"/>
      <c r="F65" s="49" t="n"/>
      <c r="G65" s="49" t="n"/>
      <c r="H65" s="27" t="n">
        <v>5</v>
      </c>
      <c r="I65" s="28" t="inlineStr">
        <is>
          <t>Write a one-page cheat sheet: capability, when to reach for it, one example prompt.</t>
        </is>
      </c>
      <c r="J65" s="29" t="inlineStr">
        <is>
          <t>Done</t>
        </is>
      </c>
      <c r="K65" s="31" t="n">
        <v>46276</v>
      </c>
      <c r="L65" s="31" t="n">
        <v>46276</v>
      </c>
      <c r="M65" s="30" t="n">
        <v>0.4</v>
      </c>
      <c r="N65" s="49" t="n"/>
      <c r="O65" s="49" t="n"/>
      <c r="P65" s="49" t="n"/>
      <c r="Q65" s="49" t="n"/>
      <c r="R65" s="49" t="n"/>
      <c r="S65" s="49" t="n"/>
    </row>
    <row r="66" ht="30" customHeight="1" s="71">
      <c r="A66" s="60" t="inlineStr">
        <is>
          <t>1.6</t>
        </is>
      </c>
      <c r="B66" s="51" t="n">
        <v>1</v>
      </c>
      <c r="C66" s="50" t="inlineStr">
        <is>
          <t>Learn: Projects, instructions and continuity</t>
        </is>
      </c>
      <c r="D66" s="51" t="inlineStr">
        <is>
          <t>Learn</t>
        </is>
      </c>
      <c r="E66" s="51" t="n">
        <v>2</v>
      </c>
      <c r="F66" s="55">
        <f>IF(COUNTIF($J66:$J70,"Done")=5,"Done",IF(COUNTIF($J66:$J70,"Blocked")&gt;0,"Blocked",IF(COUNTIF($J66:$J70,"To do")=5,"Not started","In progress")))</f>
        <v/>
      </c>
      <c r="G66" s="55">
        <f>IF(SUM($M66:$M70)=0,"",SUM($M66:$M70))</f>
        <v/>
      </c>
      <c r="H66" s="17" t="n">
        <v>1</v>
      </c>
      <c r="I66" s="18" t="inlineStr">
        <is>
          <t>Create three Projects: *Design Learning*, *Product Learning*, *Brief Work*.</t>
        </is>
      </c>
      <c r="J66" s="19" t="inlineStr">
        <is>
          <t>Done</t>
        </is>
      </c>
      <c r="K66" s="20" t="n">
        <v>46276</v>
      </c>
      <c r="L66" s="20" t="n">
        <v>46276</v>
      </c>
      <c r="M66" s="21" t="n">
        <v>0.15</v>
      </c>
      <c r="N66" s="52" t="inlineStr">
        <is>
          <t>Projects give Claude persistent context — reference files and standing instructions that apply to every conversation inside them. This is how you stop re-explaining yourself.</t>
        </is>
      </c>
      <c r="O66" s="52" t="inlineStr">
        <is>
          <t>• Claude Help Center — search "Projects": https://support.claude.com</t>
        </is>
      </c>
      <c r="P66" s="52" t="inlineStr">
        <is>
          <t>Projects are the difference between using Claude and having Claude set up for how *you* work. You'll live inside these three for the next six weeks.
---
---</t>
        </is>
      </c>
      <c r="Q66" s="52" t="inlineStr">
        <is>
          <t>1.2</t>
        </is>
      </c>
      <c r="R66" s="51" t="n"/>
      <c r="S66" s="52" t="n"/>
    </row>
    <row r="67" ht="42.75" customHeight="1" s="71">
      <c r="A67" s="48" t="n"/>
      <c r="B67" s="48" t="n"/>
      <c r="C67" s="48" t="n"/>
      <c r="D67" s="48" t="n"/>
      <c r="E67" s="48" t="n"/>
      <c r="F67" s="48" t="n"/>
      <c r="G67" s="48" t="n"/>
      <c r="H67" s="22" t="n">
        <v>2</v>
      </c>
      <c r="I67" s="23" t="inlineStr">
        <is>
          <t>Write distinct custom instructions for each — a design critique partner behaves very differently from a PRD reviewer.</t>
        </is>
      </c>
      <c r="J67" s="24" t="inlineStr">
        <is>
          <t>Done</t>
        </is>
      </c>
      <c r="K67" s="25" t="n">
        <v>46276</v>
      </c>
      <c r="L67" s="25" t="n">
        <v>46276</v>
      </c>
      <c r="M67" s="26" t="n">
        <v>0.5</v>
      </c>
      <c r="N67" s="48" t="n"/>
      <c r="O67" s="48" t="n"/>
      <c r="P67" s="48" t="n"/>
      <c r="Q67" s="48" t="n"/>
      <c r="R67" s="48" t="n"/>
      <c r="S67" s="48" t="n"/>
    </row>
    <row r="68" ht="30" customHeight="1" s="71">
      <c r="A68" s="48" t="n"/>
      <c r="B68" s="48" t="n"/>
      <c r="C68" s="48" t="n"/>
      <c r="D68" s="48" t="n"/>
      <c r="E68" s="48" t="n"/>
      <c r="F68" s="48" t="n"/>
      <c r="G68" s="48" t="n"/>
      <c r="H68" s="22" t="n">
        <v>3</v>
      </c>
      <c r="I68" s="23" t="inlineStr">
        <is>
          <t>Upload relevant reference material to each (your prompt comparisons from Task 1.2, design articles you've saved).</t>
        </is>
      </c>
      <c r="J68" s="24" t="inlineStr">
        <is>
          <t>Done</t>
        </is>
      </c>
      <c r="K68" s="25" t="n">
        <v>46276</v>
      </c>
      <c r="L68" s="25" t="n">
        <v>46276</v>
      </c>
      <c r="M68" s="26" t="n">
        <v>0.25</v>
      </c>
      <c r="N68" s="48" t="n"/>
      <c r="O68" s="48" t="n"/>
      <c r="P68" s="48" t="n"/>
      <c r="Q68" s="48" t="n"/>
      <c r="R68" s="48" t="n"/>
      <c r="S68" s="48" t="n"/>
    </row>
    <row r="69" ht="30" customHeight="1" s="71">
      <c r="A69" s="48" t="n"/>
      <c r="B69" s="48" t="n"/>
      <c r="C69" s="48" t="n"/>
      <c r="D69" s="48" t="n"/>
      <c r="E69" s="48" t="n"/>
      <c r="F69" s="48" t="n"/>
      <c r="G69" s="48" t="n"/>
      <c r="H69" s="22" t="n">
        <v>4</v>
      </c>
      <c r="I69" s="23" t="inlineStr">
        <is>
          <t>Ask the same question in two different Projects and compare how the answers differ.</t>
        </is>
      </c>
      <c r="J69" s="24" t="inlineStr">
        <is>
          <t>Done</t>
        </is>
      </c>
      <c r="K69" s="25" t="n">
        <v>46276</v>
      </c>
      <c r="L69" s="25" t="n">
        <v>46276</v>
      </c>
      <c r="M69" s="26" t="n">
        <v>0.3</v>
      </c>
      <c r="N69" s="48" t="n"/>
      <c r="O69" s="48" t="n"/>
      <c r="P69" s="48" t="n"/>
      <c r="Q69" s="48" t="n"/>
      <c r="R69" s="48" t="n"/>
      <c r="S69" s="48" t="n"/>
    </row>
    <row r="70" ht="30" customHeight="1" s="71">
      <c r="A70" s="49" t="n"/>
      <c r="B70" s="49" t="n"/>
      <c r="C70" s="49" t="n"/>
      <c r="D70" s="49" t="n"/>
      <c r="E70" s="49" t="n"/>
      <c r="F70" s="49" t="n"/>
      <c r="G70" s="49" t="n"/>
      <c r="H70" s="27" t="n">
        <v>5</v>
      </c>
      <c r="I70" s="28" t="inlineStr">
        <is>
          <t>Write two sentences in your journal on what custom instructions are genuinely good for, and where they're overkill.</t>
        </is>
      </c>
      <c r="J70" s="29" t="inlineStr">
        <is>
          <t>Done</t>
        </is>
      </c>
      <c r="K70" s="31" t="n">
        <v>46276</v>
      </c>
      <c r="L70" s="31" t="n">
        <v>46276</v>
      </c>
      <c r="M70" s="30" t="n">
        <v>0.1</v>
      </c>
      <c r="N70" s="49" t="n"/>
      <c r="O70" s="49" t="n"/>
      <c r="P70" s="49" t="n"/>
      <c r="Q70" s="49" t="n"/>
      <c r="R70" s="49" t="n"/>
      <c r="S70" s="49" t="n"/>
    </row>
    <row r="71" ht="19.5" customHeight="1" s="71">
      <c r="A71" s="65" t="inlineStr">
        <is>
          <t>1.7</t>
        </is>
      </c>
      <c r="B71" s="54" t="n">
        <v>1</v>
      </c>
      <c r="C71" s="64" t="inlineStr">
        <is>
          <t>Practise: Using Claude as a tutor, not an oracle</t>
        </is>
      </c>
      <c r="D71" s="54" t="inlineStr">
        <is>
          <t>Practise</t>
        </is>
      </c>
      <c r="E71" s="54" t="n">
        <v>3</v>
      </c>
      <c r="F71" s="47">
        <f>IF(COUNTIF($J71:$J75,"Done")=5,"Done",IF(COUNTIF($J71:$J75,"Blocked")&gt;0,"Blocked",IF(COUNTIF($J71:$J75,"To do")=5,"Not started","In progress")))</f>
        <v/>
      </c>
      <c r="G71" s="47">
        <f>IF(SUM($M71:$M75)=0,"",SUM($M71:$M75))</f>
        <v/>
      </c>
      <c r="H71" s="17" t="n">
        <v>1</v>
      </c>
      <c r="I71" s="18" t="inlineStr">
        <is>
          <t>Read the Feynman technique article.</t>
        </is>
      </c>
      <c r="J71" s="19" t="inlineStr">
        <is>
          <t>Done</t>
        </is>
      </c>
      <c r="K71" s="20" t="n">
        <v>46276</v>
      </c>
      <c r="L71" s="20" t="n">
        <v>46276</v>
      </c>
      <c r="M71" s="21" t="n">
        <v>0.25</v>
      </c>
      <c r="N71" s="53" t="inlineStr">
        <is>
          <t>The highest-value use of Claude in this plan is not getting answers — it's exposing what you don't understand. This task teaches the two techniques you'll use in nearly every module from here.</t>
        </is>
      </c>
      <c r="O71" s="53" t="inlineStr">
        <is>
          <t>• The Feynman technique — https://fs.blog/feynman-technique/
• Socratic questioning overview — https://www.intechopen.com/chapters/71638</t>
        </is>
      </c>
      <c r="P71" s="53" t="inlineStr">
        <is>
          <t>Being questioned until you reach the edge of what you know takes a little getting used to. Stick with it — it's the fastest learning available to you, and it becomes genuinely enjoyable once you trust the process.
---
---</t>
        </is>
      </c>
      <c r="Q71" s="53" t="inlineStr">
        <is>
          <t>—</t>
        </is>
      </c>
      <c r="R71" s="54" t="n"/>
      <c r="S71" s="53" t="n"/>
    </row>
    <row r="72" ht="30" customHeight="1" s="71">
      <c r="A72" s="48" t="n"/>
      <c r="B72" s="48" t="n"/>
      <c r="C72" s="48" t="n"/>
      <c r="D72" s="48" t="n"/>
      <c r="E72" s="48" t="n"/>
      <c r="F72" s="48" t="n"/>
      <c r="G72" s="48" t="n"/>
      <c r="H72" s="22" t="n">
        <v>2</v>
      </c>
      <c r="I72" s="23" t="inlineStr">
        <is>
          <t>Pick a concept you half-understand — say, why white space matters.</t>
        </is>
      </c>
      <c r="J72" s="24" t="inlineStr">
        <is>
          <t>Done</t>
        </is>
      </c>
      <c r="K72" s="25" t="n">
        <v>46276</v>
      </c>
      <c r="L72" s="25" t="n">
        <v>46276</v>
      </c>
      <c r="M72" s="26" t="n">
        <v>0.05</v>
      </c>
      <c r="N72" s="48" t="n"/>
      <c r="O72" s="48" t="n"/>
      <c r="P72" s="48" t="n"/>
      <c r="Q72" s="48" t="n"/>
      <c r="R72" s="48" t="n"/>
      <c r="S72" s="48" t="n"/>
    </row>
    <row r="73" ht="55.5" customHeight="1" s="71">
      <c r="A73" s="48" t="n"/>
      <c r="B73" s="48" t="n"/>
      <c r="C73" s="48" t="n"/>
      <c r="D73" s="48" t="n"/>
      <c r="E73" s="48" t="n"/>
      <c r="F73" s="48" t="n"/>
      <c r="G73" s="48" t="n"/>
      <c r="H73" s="22" t="n">
        <v>3</v>
      </c>
      <c r="I73" s="23" t="inlineStr">
        <is>
          <t>Explain it to Claude as if to a twelve-year-old, then prompt: *"Find every place my explanation is vague, hand-wavy or wrong. Ask me questions until I either fix it or admit I don't know."*</t>
        </is>
      </c>
      <c r="J73" s="24" t="inlineStr">
        <is>
          <t>Done</t>
        </is>
      </c>
      <c r="K73" s="25" t="n">
        <v>46276</v>
      </c>
      <c r="L73" s="25" t="n">
        <v>46276</v>
      </c>
      <c r="M73" s="26" t="n">
        <v>0.5</v>
      </c>
      <c r="N73" s="48" t="n"/>
      <c r="O73" s="48" t="n"/>
      <c r="P73" s="48" t="n"/>
      <c r="Q73" s="48" t="n"/>
      <c r="R73" s="48" t="n"/>
      <c r="S73" s="48" t="n"/>
    </row>
    <row r="74" ht="30" customHeight="1" s="71">
      <c r="A74" s="48" t="n"/>
      <c r="B74" s="48" t="n"/>
      <c r="C74" s="48" t="n"/>
      <c r="D74" s="48" t="n"/>
      <c r="E74" s="48" t="n"/>
      <c r="F74" s="48" t="n"/>
      <c r="G74" s="48" t="n"/>
      <c r="H74" s="22" t="n">
        <v>4</v>
      </c>
      <c r="I74" s="23" t="inlineStr">
        <is>
          <t>Keep going until you can explain it cleanly. Save the whole transcript.</t>
        </is>
      </c>
      <c r="J74" s="24" t="inlineStr">
        <is>
          <t>Done</t>
        </is>
      </c>
      <c r="K74" s="25" t="n">
        <v>46276</v>
      </c>
      <c r="L74" s="25" t="n">
        <v>46276</v>
      </c>
      <c r="M74" s="26" t="n">
        <v>0.75</v>
      </c>
      <c r="N74" s="48" t="n"/>
      <c r="O74" s="48" t="n"/>
      <c r="P74" s="48" t="n"/>
      <c r="Q74" s="48" t="n"/>
      <c r="R74" s="48" t="n"/>
      <c r="S74" s="48" t="n"/>
    </row>
    <row r="75" ht="30" customHeight="1" s="71">
      <c r="A75" s="49" t="n"/>
      <c r="B75" s="49" t="n"/>
      <c r="C75" s="49" t="n"/>
      <c r="D75" s="49" t="n"/>
      <c r="E75" s="49" t="n"/>
      <c r="F75" s="49" t="n"/>
      <c r="G75" s="49" t="n"/>
      <c r="H75" s="27" t="n">
        <v>5</v>
      </c>
      <c r="I75" s="28" t="inlineStr">
        <is>
          <t>Now write a reusable "tutor prompt" and a reusable "quiz me" prompt, and store both in your prompt library.</t>
        </is>
      </c>
      <c r="J75" s="29" t="inlineStr">
        <is>
          <t>Done</t>
        </is>
      </c>
      <c r="K75" s="31" t="n">
        <v>46276</v>
      </c>
      <c r="L75" s="31" t="n">
        <v>46276</v>
      </c>
      <c r="M75" s="30" t="n">
        <v>0.5</v>
      </c>
      <c r="N75" s="49" t="n"/>
      <c r="O75" s="49" t="n"/>
      <c r="P75" s="49" t="n"/>
      <c r="Q75" s="49" t="n"/>
      <c r="R75" s="49" t="n"/>
      <c r="S75" s="49" t="n"/>
    </row>
    <row r="76" ht="19.5" customHeight="1" s="71">
      <c r="A76" s="60" t="inlineStr">
        <is>
          <t>1.8</t>
        </is>
      </c>
      <c r="B76" s="51" t="n">
        <v>1</v>
      </c>
      <c r="C76" s="50" t="inlineStr">
        <is>
          <t>Learn: Verification and hallucination hygiene</t>
        </is>
      </c>
      <c r="D76" s="51" t="inlineStr">
        <is>
          <t>Learn</t>
        </is>
      </c>
      <c r="E76" s="51" t="n">
        <v>2</v>
      </c>
      <c r="F76" s="55">
        <f>IF(COUNTIF($J76:$J80,"Done")=5,"Done",IF(COUNTIF($J76:$J80,"Blocked")&gt;0,"Blocked",IF(COUNTIF($J76:$J80,"To do")=5,"Not started","In progress")))</f>
        <v/>
      </c>
      <c r="G76" s="55">
        <f>IF(SUM($M76:$M80)=0,"",SUM($M76:$M80))</f>
        <v/>
      </c>
      <c r="H76" s="17" t="n">
        <v>1</v>
      </c>
      <c r="I76" s="18" t="inlineStr">
        <is>
          <t>Read the guidance on reducing hallucinations.</t>
        </is>
      </c>
      <c r="J76" s="19" t="inlineStr">
        <is>
          <t>Done</t>
        </is>
      </c>
      <c r="K76" s="20" t="n">
        <v>46277</v>
      </c>
      <c r="L76" s="20" t="n">
        <v>46277</v>
      </c>
      <c r="M76" s="21" t="n">
        <v>0.25</v>
      </c>
      <c r="N76" s="52" t="inlineStr">
        <is>
          <t>Claude is enormously useful and sometimes confidently wrong. Professional use means knowing which claims to check and building the habit of checking them.</t>
        </is>
      </c>
      <c r="O76" s="52" t="inlineStr">
        <is>
          <t>• Reduce hallucinations — https://platform.claude.com/docs/en/test-and-evaluate/strengthen-guardrails/reduce-hallucinations
• Claude's Constitution — https://www.anthropic.com/news/claudes-constitution</t>
        </is>
      </c>
      <c r="P76" s="52" t="inlineStr">
        <is>
          <t>Using AI well is exactly what's expected here. What makes you trusted with it is the checking — the rule you write today is what lets you use Claude confidently on client work.
---
---</t>
        </is>
      </c>
      <c r="Q76" s="52" t="inlineStr">
        <is>
          <t>—</t>
        </is>
      </c>
      <c r="R76" s="51" t="n"/>
      <c r="S76" s="52" t="n"/>
    </row>
    <row r="77" ht="42.75" customHeight="1" s="71">
      <c r="A77" s="48" t="n"/>
      <c r="B77" s="48" t="n"/>
      <c r="C77" s="48" t="n"/>
      <c r="D77" s="48" t="n"/>
      <c r="E77" s="48" t="n"/>
      <c r="F77" s="48" t="n"/>
      <c r="G77" s="48" t="n"/>
      <c r="H77" s="22" t="n">
        <v>2</v>
      </c>
      <c r="I77" s="23" t="inlineStr">
        <is>
          <t>Ask Claude five factual questions where you can independently verify the answers — statistics, dates, whether a specific tool has a specific feature.</t>
        </is>
      </c>
      <c r="J77" s="24" t="inlineStr">
        <is>
          <t>Done</t>
        </is>
      </c>
      <c r="K77" s="25" t="n">
        <v>46277</v>
      </c>
      <c r="L77" s="25" t="n">
        <v>46277</v>
      </c>
      <c r="M77" s="26" t="n">
        <v>0.2</v>
      </c>
      <c r="N77" s="48" t="n"/>
      <c r="O77" s="48" t="n"/>
      <c r="P77" s="48" t="n"/>
      <c r="Q77" s="48" t="n"/>
      <c r="R77" s="48" t="n"/>
      <c r="S77" s="48" t="n"/>
    </row>
    <row r="78" ht="30" customHeight="1" s="71">
      <c r="A78" s="48" t="n"/>
      <c r="B78" s="48" t="n"/>
      <c r="C78" s="48" t="n"/>
      <c r="D78" s="48" t="n"/>
      <c r="E78" s="48" t="n"/>
      <c r="F78" s="48" t="n"/>
      <c r="G78" s="48" t="n"/>
      <c r="H78" s="22" t="n">
        <v>3</v>
      </c>
      <c r="I78" s="23" t="inlineStr">
        <is>
          <t>Check every answer against a primary source. Record what was right, wrong, or subtly off.</t>
        </is>
      </c>
      <c r="J78" s="24" t="inlineStr">
        <is>
          <t>Done</t>
        </is>
      </c>
      <c r="K78" s="25" t="n">
        <v>46277</v>
      </c>
      <c r="L78" s="25" t="n">
        <v>46277</v>
      </c>
      <c r="M78" s="26" t="n">
        <v>0.5</v>
      </c>
      <c r="N78" s="48" t="n"/>
      <c r="O78" s="48" t="n"/>
      <c r="P78" s="48" t="n"/>
      <c r="Q78" s="48" t="n"/>
      <c r="R78" s="48" t="n"/>
      <c r="S78" s="48" t="n"/>
    </row>
    <row r="79" ht="55.5" customHeight="1" s="71">
      <c r="A79" s="48" t="n"/>
      <c r="B79" s="48" t="n"/>
      <c r="C79" s="48" t="n"/>
      <c r="D79" s="48" t="n"/>
      <c r="E79" s="48" t="n"/>
      <c r="F79" s="48" t="n"/>
      <c r="G79" s="48" t="n"/>
      <c r="H79" s="22" t="n">
        <v>4</v>
      </c>
      <c r="I79" s="23" t="inlineStr">
        <is>
          <t>Write your personal verification rule: which categories of claim you will *always* check. Suggested starting set — numbers, dates, names, URLs, legal or medical claims, and anything you're about to put in front of a client.</t>
        </is>
      </c>
      <c r="J79" s="24" t="inlineStr">
        <is>
          <t>Done</t>
        </is>
      </c>
      <c r="K79" s="25" t="n">
        <v>46277</v>
      </c>
      <c r="L79" s="25" t="n">
        <v>46277</v>
      </c>
      <c r="M79" s="26" t="n">
        <v>0.15</v>
      </c>
      <c r="N79" s="48" t="n"/>
      <c r="O79" s="48" t="n"/>
      <c r="P79" s="48" t="n"/>
      <c r="Q79" s="48" t="n"/>
      <c r="R79" s="48" t="n"/>
      <c r="S79" s="48" t="n"/>
    </row>
    <row r="80" ht="19.5" customHeight="1" s="71">
      <c r="A80" s="49" t="n"/>
      <c r="B80" s="49" t="n"/>
      <c r="C80" s="49" t="n"/>
      <c r="D80" s="49" t="n"/>
      <c r="E80" s="49" t="n"/>
      <c r="F80" s="49" t="n"/>
      <c r="G80" s="49" t="n"/>
      <c r="H80" s="27" t="n">
        <v>5</v>
      </c>
      <c r="I80" s="28" t="inlineStr">
        <is>
          <t>Pin that rule somewhere you'll see it daily.</t>
        </is>
      </c>
      <c r="J80" s="29" t="inlineStr">
        <is>
          <t>Done</t>
        </is>
      </c>
      <c r="K80" s="31" t="n">
        <v>46277</v>
      </c>
      <c r="L80" s="31" t="n">
        <v>46277</v>
      </c>
      <c r="M80" s="30" t="n">
        <v>0.1</v>
      </c>
      <c r="N80" s="49" t="n"/>
      <c r="O80" s="49" t="n"/>
      <c r="P80" s="49" t="n"/>
      <c r="Q80" s="49" t="n"/>
      <c r="R80" s="49" t="n"/>
      <c r="S80" s="49" t="n"/>
    </row>
    <row r="81" ht="30" customHeight="1" s="71">
      <c r="A81" s="65" t="inlineStr">
        <is>
          <t>1.9</t>
        </is>
      </c>
      <c r="B81" s="54" t="n">
        <v>1</v>
      </c>
      <c r="C81" s="64" t="inlineStr">
        <is>
          <t>Build: Your personal prompt library</t>
        </is>
      </c>
      <c r="D81" s="54" t="inlineStr">
        <is>
          <t>Build</t>
        </is>
      </c>
      <c r="E81" s="54" t="n">
        <v>3</v>
      </c>
      <c r="F81" s="47">
        <f>IF(COUNTIF($J81:$J85,"Done")=5,"Done",IF(COUNTIF($J81:$J85,"Blocked")&gt;0,"Blocked",IF(COUNTIF($J81:$J85,"To do")=5,"Not started","In progress")))</f>
        <v/>
      </c>
      <c r="G81" s="47">
        <f>IF(SUM($M81:$M85)=0,"",SUM($M81:$M85))</f>
        <v/>
      </c>
      <c r="H81" s="17" t="n">
        <v>1</v>
      </c>
      <c r="I81" s="18" t="inlineStr">
        <is>
          <t>Create a document called *My Prompt Library*, organised by purpose: Learn, Critique, Ideate, Write, Analyse, Review.</t>
        </is>
      </c>
      <c r="J81" s="19" t="inlineStr">
        <is>
          <t>Done</t>
        </is>
      </c>
      <c r="K81" s="20" t="n">
        <v>46278</v>
      </c>
      <c r="L81" s="20" t="n">
        <v>46278</v>
      </c>
      <c r="M81" s="21" t="n">
        <v>0.5</v>
      </c>
      <c r="N81" s="53" t="inlineStr">
        <is>
          <t>Turn everything from this module into a reusable asset you'll add to for the rest of your career.</t>
        </is>
      </c>
      <c r="O81" s="53" t="inlineStr">
        <is>
          <t>• Anthropic prompt library — https://docs.claude.com/en/resources/prompt-library/library
• Your own saved prompts from Tasks 1.2–1.8</t>
        </is>
      </c>
      <c r="P81" s="53" t="inlineStr">
        <is>
          <t>Come back to this at the end of every module and add what worked. By Module 9 it will be the most useful document you own.
---
---</t>
        </is>
      </c>
      <c r="Q81" s="53" t="inlineStr">
        <is>
          <t>—</t>
        </is>
      </c>
      <c r="R81" s="54" t="n"/>
      <c r="S81" s="53" t="n"/>
    </row>
    <row r="82" ht="30" customHeight="1" s="71">
      <c r="A82" s="48" t="n"/>
      <c r="B82" s="48" t="n"/>
      <c r="C82" s="48" t="n"/>
      <c r="D82" s="48" t="n"/>
      <c r="E82" s="48" t="n"/>
      <c r="F82" s="48" t="n"/>
      <c r="G82" s="48" t="n"/>
      <c r="H82" s="22" t="n">
        <v>2</v>
      </c>
      <c r="I82" s="23" t="inlineStr">
        <is>
          <t>Seed it with at least twelve prompts from this module — tutor, quiz, critique, comparison, debate, verification.</t>
        </is>
      </c>
      <c r="J82" s="24" t="inlineStr">
        <is>
          <t>Done</t>
        </is>
      </c>
      <c r="K82" s="25" t="n">
        <v>46278</v>
      </c>
      <c r="L82" s="25" t="n">
        <v>46278</v>
      </c>
      <c r="M82" s="26" t="n">
        <v>1</v>
      </c>
      <c r="N82" s="48" t="n"/>
      <c r="O82" s="48" t="n"/>
      <c r="P82" s="48" t="n"/>
      <c r="Q82" s="48" t="n"/>
      <c r="R82" s="48" t="n"/>
      <c r="S82" s="48" t="n"/>
    </row>
    <row r="83" ht="30" customHeight="1" s="71">
      <c r="A83" s="48" t="n"/>
      <c r="B83" s="48" t="n"/>
      <c r="C83" s="48" t="n"/>
      <c r="D83" s="48" t="n"/>
      <c r="E83" s="48" t="n"/>
      <c r="F83" s="48" t="n"/>
      <c r="G83" s="48" t="n"/>
      <c r="H83" s="22" t="n">
        <v>3</v>
      </c>
      <c r="I83" s="23" t="inlineStr">
        <is>
          <t>Give each a title, a one-line "use this when", and the prompt text with `[BRACKETS]` marking what to swap.</t>
        </is>
      </c>
      <c r="J83" s="24" t="inlineStr">
        <is>
          <t>Done</t>
        </is>
      </c>
      <c r="K83" s="25" t="n">
        <v>46278</v>
      </c>
      <c r="L83" s="25" t="n">
        <v>46278</v>
      </c>
      <c r="M83" s="26" t="n">
        <v>0.75</v>
      </c>
      <c r="N83" s="48" t="n"/>
      <c r="O83" s="48" t="n"/>
      <c r="P83" s="48" t="n"/>
      <c r="Q83" s="48" t="n"/>
      <c r="R83" s="48" t="n"/>
      <c r="S83" s="48" t="n"/>
    </row>
    <row r="84" ht="42.75" customHeight="1" s="71">
      <c r="A84" s="48" t="n"/>
      <c r="B84" s="48" t="n"/>
      <c r="C84" s="48" t="n"/>
      <c r="D84" s="48" t="n"/>
      <c r="E84" s="48" t="n"/>
      <c r="F84" s="48" t="n"/>
      <c r="G84" s="48" t="n"/>
      <c r="H84" s="22" t="n">
        <v>4</v>
      </c>
      <c r="I84" s="23" t="inlineStr">
        <is>
          <t>Ask Claude to review it: *"Here's my prompt library. Which of these are weak, which overlap, and what obvious gaps does a product manager have?"*</t>
        </is>
      </c>
      <c r="J84" s="24" t="inlineStr">
        <is>
          <t>Done</t>
        </is>
      </c>
      <c r="K84" s="25" t="n">
        <v>46278</v>
      </c>
      <c r="L84" s="25" t="n">
        <v>46278</v>
      </c>
      <c r="M84" s="26" t="n">
        <v>0.25</v>
      </c>
      <c r="N84" s="48" t="n"/>
      <c r="O84" s="48" t="n"/>
      <c r="P84" s="48" t="n"/>
      <c r="Q84" s="48" t="n"/>
      <c r="R84" s="48" t="n"/>
      <c r="S84" s="48" t="n"/>
    </row>
    <row r="85" ht="30" customHeight="1" s="71">
      <c r="A85" s="49" t="n"/>
      <c r="B85" s="49" t="n"/>
      <c r="C85" s="49" t="n"/>
      <c r="D85" s="49" t="n"/>
      <c r="E85" s="49" t="n"/>
      <c r="F85" s="49" t="n"/>
      <c r="G85" s="49" t="n"/>
      <c r="H85" s="27" t="n">
        <v>5</v>
      </c>
      <c r="I85" s="28" t="inlineStr">
        <is>
          <t>Act on the feedback and save the library into your *Design Learning* Project.</t>
        </is>
      </c>
      <c r="J85" s="29" t="inlineStr">
        <is>
          <t>Done</t>
        </is>
      </c>
      <c r="K85" s="31" t="n">
        <v>46278</v>
      </c>
      <c r="L85" s="31" t="n">
        <v>46278</v>
      </c>
      <c r="M85" s="30" t="n"/>
      <c r="N85" s="49" t="n"/>
      <c r="O85" s="49" t="n"/>
      <c r="P85" s="49" t="n"/>
      <c r="Q85" s="49" t="n"/>
      <c r="R85" s="49" t="n"/>
      <c r="S85" s="49" t="n"/>
    </row>
    <row r="86" ht="25.5" customHeight="1" s="71">
      <c r="A86" s="61" t="inlineStr">
        <is>
          <t xml:space="preserve">  Module 2 · Discovery and Problem Definition — 20 hrs · 7 tasks</t>
        </is>
      </c>
      <c r="B86" s="62" t="n"/>
      <c r="C86" s="62" t="n"/>
      <c r="D86" s="62" t="n"/>
      <c r="E86" s="62" t="n"/>
      <c r="F86" s="62" t="n"/>
      <c r="G86" s="62" t="n"/>
      <c r="H86" s="62" t="n"/>
      <c r="I86" s="62" t="n"/>
      <c r="J86" s="62" t="n"/>
      <c r="K86" s="62" t="n"/>
      <c r="L86" s="62" t="n"/>
      <c r="M86" s="62" t="n"/>
      <c r="N86" s="62" t="n"/>
      <c r="O86" s="62" t="n"/>
      <c r="P86" s="62" t="n"/>
      <c r="Q86" s="62" t="n"/>
      <c r="R86" s="62" t="n"/>
      <c r="S86" s="63" t="n"/>
    </row>
    <row r="87" ht="18" customHeight="1" s="71">
      <c r="A87" s="59" t="inlineStr">
        <is>
          <t>Goal</t>
        </is>
      </c>
      <c r="B87" s="58" t="n"/>
      <c r="C87" s="56" t="inlineStr">
        <is>
          <t>I can take a vague request from a client and turn it into a problem worth solving.</t>
        </is>
      </c>
      <c r="D87" s="57" t="n"/>
      <c r="E87" s="57" t="n"/>
      <c r="F87" s="57" t="n"/>
      <c r="G87" s="57" t="n"/>
      <c r="H87" s="57" t="n"/>
      <c r="I87" s="57" t="n"/>
      <c r="J87" s="57" t="n"/>
      <c r="K87" s="57" t="n"/>
      <c r="L87" s="57" t="n"/>
      <c r="M87" s="57" t="n"/>
      <c r="N87" s="57" t="n"/>
      <c r="O87" s="57" t="n"/>
      <c r="P87" s="57" t="n"/>
      <c r="Q87" s="57" t="n"/>
      <c r="R87" s="57" t="n"/>
      <c r="S87" s="58" t="n"/>
    </row>
    <row r="88" ht="18" customHeight="1" s="71">
      <c r="A88" s="59" t="inlineStr">
        <is>
          <t>About</t>
        </is>
      </c>
      <c r="B88" s="58" t="n"/>
      <c r="C88" s="56" t="inlineStr">
        <is>
          <t>Products don't start with a feature request. They start with a person who has a problem, and a client who has described that problem imperfectly. This module gives you the loop we use to get from a vague brief to a problem statement a team can build against — and by the end you'll have run it once on a real brief.
---</t>
        </is>
      </c>
      <c r="D88" s="57" t="n"/>
      <c r="E88" s="57" t="n"/>
      <c r="F88" s="57" t="n"/>
      <c r="G88" s="57" t="n"/>
      <c r="H88" s="57" t="n"/>
      <c r="I88" s="57" t="n"/>
      <c r="J88" s="57" t="n"/>
      <c r="K88" s="57" t="n"/>
      <c r="L88" s="57" t="n"/>
      <c r="M88" s="57" t="n"/>
      <c r="N88" s="57" t="n"/>
      <c r="O88" s="57" t="n"/>
      <c r="P88" s="57" t="n"/>
      <c r="Q88" s="57" t="n"/>
      <c r="R88" s="57" t="n"/>
      <c r="S88" s="58" t="n"/>
    </row>
    <row r="89" ht="18" customHeight="1" s="71">
      <c r="A89" s="59" t="inlineStr">
        <is>
          <t>Checkpoint</t>
        </is>
      </c>
      <c r="B89" s="58" t="n"/>
      <c r="C89" s="56" t="inlineStr">
        <is>
          <t>Bring: your interview questions and write-up, POV statement and HMW set, ideation output, fidelity table, usability script and findings, and the full PawPal document.
---</t>
        </is>
      </c>
      <c r="D89" s="57" t="n"/>
      <c r="E89" s="57" t="n"/>
      <c r="F89" s="57" t="n"/>
      <c r="G89" s="57" t="n"/>
      <c r="H89" s="57" t="n"/>
      <c r="I89" s="57" t="n"/>
      <c r="J89" s="57" t="n"/>
      <c r="K89" s="57" t="n"/>
      <c r="L89" s="57" t="n"/>
      <c r="M89" s="57" t="n"/>
      <c r="N89" s="57" t="n"/>
      <c r="O89" s="57" t="n"/>
      <c r="P89" s="57" t="n"/>
      <c r="Q89" s="57" t="n"/>
      <c r="R89" s="57" t="n"/>
      <c r="S89" s="58" t="n"/>
    </row>
    <row r="90" ht="30" customHeight="1" s="71">
      <c r="A90" s="60" t="inlineStr">
        <is>
          <t>2.1</t>
        </is>
      </c>
      <c r="B90" s="51" t="n">
        <v>2</v>
      </c>
      <c r="C90" s="50" t="inlineStr">
        <is>
          <t>Learn: The design thinking process, end to end</t>
        </is>
      </c>
      <c r="D90" s="51" t="inlineStr">
        <is>
          <t>Learn</t>
        </is>
      </c>
      <c r="E90" s="51" t="n">
        <v>2</v>
      </c>
      <c r="F90" s="55">
        <f>IF(COUNTIF($J90:$J94,"Done")=5,"Done",IF(COUNTIF($J90:$J94,"Blocked")&gt;0,"Blocked",IF(COUNTIF($J90:$J94,"To do")=5,"Not started","In progress")))</f>
        <v/>
      </c>
      <c r="G90" s="55">
        <f>IF(SUM($M90:$M94)=0,"",SUM($M90:$M94))</f>
        <v/>
      </c>
      <c r="H90" s="17" t="n">
        <v>1</v>
      </c>
      <c r="I90" s="18" t="inlineStr">
        <is>
          <t>Read both, then draw the five stages on paper with an arrow between each — including the loops backwards.</t>
        </is>
      </c>
      <c r="J90" s="19" t="inlineStr">
        <is>
          <t>Done</t>
        </is>
      </c>
      <c r="K90" s="20" t="n">
        <v>46279</v>
      </c>
      <c r="L90" s="20" t="n">
        <v>46279</v>
      </c>
      <c r="M90" s="21" t="n">
        <v>0.5</v>
      </c>
      <c r="N90" s="52" t="inlineStr">
        <is>
          <t>Get the map before the territory. Five stages, what each is for, and why skipping any of them shows up later as expensive rework.</t>
        </is>
      </c>
      <c r="O90" s="52" t="inlineStr">
        <is>
          <t>• IxDF: *5 Stages in the Design Thinking Process* — https://www.interaction-design.org/literature/article/5-stages-in-the-design-thinking-process
• IxDF: *Design Process* topic hub — https://www.interaction-design.org/literature/topics/design-process</t>
        </is>
      </c>
      <c r="P90" s="52" t="inlineStr">
        <is>
          <t>The honest answer to that last question is usually "Empathise" — jumping to solutions feels productive. Notice the urge; it doesn't go away, you just learn to overrule it.
---
---</t>
        </is>
      </c>
      <c r="Q90" s="52" t="inlineStr">
        <is>
          <t>—</t>
        </is>
      </c>
      <c r="R90" s="51" t="n"/>
      <c r="S90" s="52" t="n"/>
    </row>
    <row r="91" ht="30" customHeight="1" s="71">
      <c r="A91" s="48" t="n"/>
      <c r="B91" s="48" t="n"/>
      <c r="C91" s="48" t="n"/>
      <c r="D91" s="48" t="n"/>
      <c r="E91" s="48" t="n"/>
      <c r="F91" s="48" t="n"/>
      <c r="G91" s="48" t="n"/>
      <c r="H91" s="22" t="n">
        <v>2</v>
      </c>
      <c r="I91" s="23" t="inlineStr">
        <is>
          <t>For each stage write: its purpose, its output, and what typically gets missed when it's rushed.</t>
        </is>
      </c>
      <c r="J91" s="24" t="inlineStr">
        <is>
          <t>Done</t>
        </is>
      </c>
      <c r="K91" s="25" t="n">
        <v>46279</v>
      </c>
      <c r="L91" s="25" t="n">
        <v>46279</v>
      </c>
      <c r="M91" s="26" t="n">
        <v>0.5</v>
      </c>
      <c r="N91" s="48" t="n"/>
      <c r="O91" s="48" t="n"/>
      <c r="P91" s="48" t="n"/>
      <c r="Q91" s="48" t="n"/>
      <c r="R91" s="48" t="n"/>
      <c r="S91" s="48" t="n"/>
    </row>
    <row r="92" ht="55.5" customHeight="1" s="71">
      <c r="A92" s="48" t="n"/>
      <c r="B92" s="48" t="n"/>
      <c r="C92" s="48" t="n"/>
      <c r="D92" s="48" t="n"/>
      <c r="E92" s="48" t="n"/>
      <c r="F92" s="48" t="n"/>
      <c r="G92" s="48" t="n"/>
      <c r="H92" s="22" t="n">
        <v>3</v>
      </c>
      <c r="I92" s="23" t="inlineStr">
        <is>
          <t>Ask Claude: *"I'm learning design thinking. Here's my one-line summary of each stage. Give me a real example of a product that clearly skipped one of these stages, and what went wrong as a result."*</t>
        </is>
      </c>
      <c r="J92" s="24" t="inlineStr">
        <is>
          <t>Done</t>
        </is>
      </c>
      <c r="K92" s="25" t="n">
        <v>46279</v>
      </c>
      <c r="L92" s="25" t="n">
        <v>46279</v>
      </c>
      <c r="M92" s="26" t="n">
        <v>0.15</v>
      </c>
      <c r="N92" s="48" t="n"/>
      <c r="O92" s="48" t="n"/>
      <c r="P92" s="48" t="n"/>
      <c r="Q92" s="48" t="n"/>
      <c r="R92" s="48" t="n"/>
      <c r="S92" s="48" t="n"/>
    </row>
    <row r="93" ht="30" customHeight="1" s="71">
      <c r="A93" s="48" t="n"/>
      <c r="B93" s="48" t="n"/>
      <c r="C93" s="48" t="n"/>
      <c r="D93" s="48" t="n"/>
      <c r="E93" s="48" t="n"/>
      <c r="F93" s="48" t="n"/>
      <c r="G93" s="48" t="n"/>
      <c r="H93" s="22" t="n">
        <v>4</v>
      </c>
      <c r="I93" s="23" t="inlineStr">
        <is>
          <t>Pick one app you use daily and guess which stage its team invested most in.</t>
        </is>
      </c>
      <c r="J93" s="24" t="inlineStr">
        <is>
          <t>Done</t>
        </is>
      </c>
      <c r="K93" s="25" t="n">
        <v>46279</v>
      </c>
      <c r="L93" s="25" t="n">
        <v>46279</v>
      </c>
      <c r="M93" s="26" t="n">
        <v>0.2</v>
      </c>
      <c r="N93" s="48" t="n"/>
      <c r="O93" s="48" t="n"/>
      <c r="P93" s="48" t="n"/>
      <c r="Q93" s="48" t="n"/>
      <c r="R93" s="48" t="n"/>
      <c r="S93" s="48" t="n"/>
    </row>
    <row r="94" ht="30" customHeight="1" s="71">
      <c r="A94" s="49" t="n"/>
      <c r="B94" s="49" t="n"/>
      <c r="C94" s="49" t="n"/>
      <c r="D94" s="49" t="n"/>
      <c r="E94" s="49" t="n"/>
      <c r="F94" s="49" t="n"/>
      <c r="G94" s="49" t="n"/>
      <c r="H94" s="27" t="n">
        <v>5</v>
      </c>
      <c r="I94" s="28" t="inlineStr">
        <is>
          <t>Journal: which stage do you think you'll personally be tempted to skip, and why?</t>
        </is>
      </c>
      <c r="J94" s="29" t="inlineStr">
        <is>
          <t>Done</t>
        </is>
      </c>
      <c r="K94" s="31" t="n">
        <v>46279</v>
      </c>
      <c r="L94" s="31" t="n">
        <v>46279</v>
      </c>
      <c r="M94" s="30" t="n">
        <v>0.15</v>
      </c>
      <c r="N94" s="49" t="n"/>
      <c r="O94" s="49" t="n"/>
      <c r="P94" s="49" t="n"/>
      <c r="Q94" s="49" t="n"/>
      <c r="R94" s="49" t="n"/>
      <c r="S94" s="49" t="n"/>
    </row>
    <row r="95" ht="42.75" customHeight="1" s="71">
      <c r="A95" s="65" t="inlineStr">
        <is>
          <t>2.2</t>
        </is>
      </c>
      <c r="B95" s="54" t="n">
        <v>2</v>
      </c>
      <c r="C95" s="64" t="inlineStr">
        <is>
          <t>Practise: Empathise — talking to users</t>
        </is>
      </c>
      <c r="D95" s="54" t="inlineStr">
        <is>
          <t>Practise</t>
        </is>
      </c>
      <c r="E95" s="54" t="n">
        <v>3</v>
      </c>
      <c r="F95" s="47">
        <f>IF(COUNTIF($J95:$J99,"Done")=5,"Done",IF(COUNTIF($J95:$J99,"Blocked")&gt;0,"Blocked",IF(COUNTIF($J95:$J99,"To do")=5,"Not started","In progress")))</f>
        <v/>
      </c>
      <c r="G95" s="47">
        <f>IF(SUM($M95:$M99)=0,"",SUM($M95:$M99))</f>
        <v/>
      </c>
      <c r="H95" s="17" t="n">
        <v>1</v>
      </c>
      <c r="I95" s="18" t="inlineStr">
        <is>
          <t>Read both NN/g articles, noting the difference between asking about past behaviour and asking about hypothetical future behaviour.</t>
        </is>
      </c>
      <c r="J95" s="19" t="inlineStr">
        <is>
          <t>Done</t>
        </is>
      </c>
      <c r="K95" s="20" t="n">
        <v>46279</v>
      </c>
      <c r="L95" s="20" t="n">
        <v>46279</v>
      </c>
      <c r="M95" s="21" t="n">
        <v>0.25</v>
      </c>
      <c r="N95" s="53" t="inlineStr">
        <is>
          <t>The first stage is understanding the person, not the problem. Learn to ask questions that surface what people actually do rather than what they think they should say.</t>
        </is>
      </c>
      <c r="O95" s="53" t="inlineStr">
        <is>
          <t>• NN/g: *User Interviews 101* — https://www.nngroup.com/articles/user-interviews/
• NN/g: *Open-Ended vs. Closed-Ended Questions* — https://www.nngroup.com/articles/open-ended-questions/
• Brief A: PawPal — Appendix A</t>
        </is>
      </c>
      <c r="P95" s="53" t="inlineStr">
        <is>
          <t>The hardest part of an interview is silence. When they stop talking, count to three before you speak — the second half of an answer is usually the useful half.
---
---</t>
        </is>
      </c>
      <c r="Q95" s="53" t="inlineStr">
        <is>
          <t>—</t>
        </is>
      </c>
      <c r="R95" s="54" t="n"/>
      <c r="S95" s="53" t="n"/>
    </row>
    <row r="96" ht="19.5" customHeight="1" s="71">
      <c r="A96" s="48" t="n"/>
      <c r="B96" s="48" t="n"/>
      <c r="C96" s="48" t="n"/>
      <c r="D96" s="48" t="n"/>
      <c r="E96" s="48" t="n"/>
      <c r="F96" s="48" t="n"/>
      <c r="G96" s="48" t="n"/>
      <c r="H96" s="22" t="n">
        <v>2</v>
      </c>
      <c r="I96" s="23" t="inlineStr">
        <is>
          <t>Read Brief A (PawPal) in Appendix A.</t>
        </is>
      </c>
      <c r="J96" s="24" t="inlineStr">
        <is>
          <t>Done</t>
        </is>
      </c>
      <c r="K96" s="25" t="n">
        <v>46279</v>
      </c>
      <c r="L96" s="25" t="n">
        <v>46279</v>
      </c>
      <c r="M96" s="26" t="n">
        <v>0.15</v>
      </c>
      <c r="N96" s="48" t="n"/>
      <c r="O96" s="48" t="n"/>
      <c r="P96" s="48" t="n"/>
      <c r="Q96" s="48" t="n"/>
      <c r="R96" s="48" t="n"/>
      <c r="S96" s="48" t="n"/>
    </row>
    <row r="97" ht="42.75" customHeight="1" s="71">
      <c r="A97" s="48" t="n"/>
      <c r="B97" s="48" t="n"/>
      <c r="C97" s="48" t="n"/>
      <c r="D97" s="48" t="n"/>
      <c r="E97" s="48" t="n"/>
      <c r="F97" s="48" t="n"/>
      <c r="G97" s="48" t="n"/>
      <c r="H97" s="22" t="n">
        <v>3</v>
      </c>
      <c r="I97" s="23" t="inlineStr">
        <is>
          <t>Write ten interview questions for a prospective PawPal user. At least seven must ask about something they actually did.</t>
        </is>
      </c>
      <c r="J97" s="24" t="inlineStr">
        <is>
          <t>Done</t>
        </is>
      </c>
      <c r="K97" s="25" t="n">
        <v>46279</v>
      </c>
      <c r="L97" s="25" t="n">
        <v>46279</v>
      </c>
      <c r="M97" s="26" t="n">
        <v>0.5</v>
      </c>
      <c r="N97" s="48" t="n"/>
      <c r="O97" s="48" t="n"/>
      <c r="P97" s="48" t="n"/>
      <c r="Q97" s="48" t="n"/>
      <c r="R97" s="48" t="n"/>
      <c r="S97" s="48" t="n"/>
    </row>
    <row r="98" ht="42.75" customHeight="1" s="71">
      <c r="A98" s="48" t="n"/>
      <c r="B98" s="48" t="n"/>
      <c r="C98" s="48" t="n"/>
      <c r="D98" s="48" t="n"/>
      <c r="E98" s="48" t="n"/>
      <c r="F98" s="48" t="n"/>
      <c r="G98" s="48" t="n"/>
      <c r="H98" s="22" t="n">
        <v>4</v>
      </c>
      <c r="I98" s="23" t="inlineStr">
        <is>
          <t>Ask Claude to critique them: *"Here are ten user-interview questions. Mark each as leading, hypothetical, double-barrelled, or good — and rewrite the weak ones."*</t>
        </is>
      </c>
      <c r="J98" s="24" t="inlineStr">
        <is>
          <t>Done</t>
        </is>
      </c>
      <c r="K98" s="25" t="n">
        <v>46279</v>
      </c>
      <c r="L98" s="25" t="n">
        <v>46279</v>
      </c>
      <c r="M98" s="26" t="n">
        <v>0.15</v>
      </c>
      <c r="N98" s="48" t="n"/>
      <c r="O98" s="48" t="n"/>
      <c r="P98" s="48" t="n"/>
      <c r="Q98" s="48" t="n"/>
      <c r="R98" s="48" t="n"/>
      <c r="S98" s="48" t="n"/>
    </row>
    <row r="99" ht="42.75" customHeight="1" s="71">
      <c r="A99" s="49" t="n"/>
      <c r="B99" s="49" t="n"/>
      <c r="C99" s="49" t="n"/>
      <c r="D99" s="49" t="n"/>
      <c r="E99" s="49" t="n"/>
      <c r="F99" s="49" t="n"/>
      <c r="G99" s="49" t="n"/>
      <c r="H99" s="27" t="n">
        <v>5</v>
      </c>
      <c r="I99" s="28" t="inlineStr">
        <is>
          <t>Run a fifteen-minute interview with your mentor or a colleague playing a pet owner. Take notes without interrupting, then write up the three most surprising things you heard.</t>
        </is>
      </c>
      <c r="J99" s="29" t="inlineStr">
        <is>
          <t>Done</t>
        </is>
      </c>
      <c r="K99" s="31" t="n">
        <v>46280</v>
      </c>
      <c r="L99" s="31" t="n">
        <v>46280</v>
      </c>
      <c r="M99" s="30" t="n">
        <v>0.5</v>
      </c>
      <c r="N99" s="49" t="n"/>
      <c r="O99" s="49" t="n"/>
      <c r="P99" s="49" t="n"/>
      <c r="Q99" s="49" t="n"/>
      <c r="R99" s="49" t="n"/>
      <c r="S99" s="49" t="n"/>
    </row>
    <row r="100" ht="19.5" customHeight="1" s="71">
      <c r="A100" s="60" t="inlineStr">
        <is>
          <t>2.3</t>
        </is>
      </c>
      <c r="B100" s="51" t="n">
        <v>2</v>
      </c>
      <c r="C100" s="50" t="inlineStr">
        <is>
          <t>Practise: Define — turning research into a problem statement</t>
        </is>
      </c>
      <c r="D100" s="51" t="inlineStr">
        <is>
          <t>Practise</t>
        </is>
      </c>
      <c r="E100" s="51" t="n">
        <v>3</v>
      </c>
      <c r="F100" s="55">
        <f>IF(COUNTIF($J100:$J104,"Done")=5,"Done",IF(COUNTIF($J100:$J104,"Blocked")&gt;0,"Blocked",IF(COUNTIF($J100:$J104,"To do")=5,"Not started","In progress")))</f>
        <v/>
      </c>
      <c r="G100" s="55">
        <f>IF(SUM($M100:$M104)=0,"",SUM($M100:$M104))</f>
        <v/>
      </c>
      <c r="H100" s="17" t="n">
        <v>1</v>
      </c>
      <c r="I100" s="18" t="inlineStr">
        <is>
          <t>Read all three.</t>
        </is>
      </c>
      <c r="J100" s="19" t="inlineStr">
        <is>
          <t>Done</t>
        </is>
      </c>
      <c r="K100" s="20" t="n">
        <v>46280</v>
      </c>
      <c r="L100" s="20" t="n">
        <v>46280</v>
      </c>
      <c r="M100" s="21" t="n">
        <v>0.3</v>
      </c>
      <c r="N100" s="52" t="inlineStr">
        <is>
          <t>Raw research is a pile of quotes. Defining is the act of turning that pile into one sentence a team can build against.</t>
        </is>
      </c>
      <c r="O100" s="52" t="inlineStr">
        <is>
          <t>• IxDF: *Define the Problem* — https://www.interaction-design.org/literature/topics/define-the-problem
• NN/g: *Affinity Diagramming* — https://www.nngroup.com/articles/affinity-diagram/
• IDEO / d.school: *How Might We* — https://www.designkit.org/methods/how-might-we</t>
        </is>
      </c>
      <c r="P100" s="52" t="inlineStr">
        <is>
          <t>A good problem statement takes some nerve, because it deliberately closes doors. If yours could apply to any app, it's worth another pass.
---
---</t>
        </is>
      </c>
      <c r="Q100" s="52" t="inlineStr">
        <is>
          <t>—</t>
        </is>
      </c>
      <c r="R100" s="51" t="n"/>
      <c r="S100" s="52" t="inlineStr">
        <is>
          <t>The last link is not working, the correct link is: https://www.designkit.org/methods/how-might-we.html</t>
        </is>
      </c>
    </row>
    <row r="101" ht="42.75" customHeight="1" s="71">
      <c r="A101" s="48" t="n"/>
      <c r="B101" s="48" t="n"/>
      <c r="C101" s="48" t="n"/>
      <c r="D101" s="48" t="n"/>
      <c r="E101" s="48" t="n"/>
      <c r="F101" s="48" t="n"/>
      <c r="G101" s="48" t="n"/>
      <c r="H101" s="22" t="n">
        <v>2</v>
      </c>
      <c r="I101" s="23" t="inlineStr">
        <is>
          <t>Take your PawPal interview notes and cluster them into themes on paper or in a document — one observation per line, grouped.</t>
        </is>
      </c>
      <c r="J101" s="24" t="inlineStr">
        <is>
          <t>Done</t>
        </is>
      </c>
      <c r="K101" s="25" t="n">
        <v>46280</v>
      </c>
      <c r="L101" s="25" t="n">
        <v>46280</v>
      </c>
      <c r="M101" s="26" t="n">
        <v>0.4</v>
      </c>
      <c r="N101" s="48" t="n"/>
      <c r="O101" s="48" t="n"/>
      <c r="P101" s="48" t="n"/>
      <c r="Q101" s="48" t="n"/>
      <c r="R101" s="48" t="n"/>
      <c r="S101" s="48" t="n"/>
    </row>
    <row r="102" ht="30" customHeight="1" s="71">
      <c r="A102" s="48" t="n"/>
      <c r="B102" s="48" t="n"/>
      <c r="C102" s="48" t="n"/>
      <c r="D102" s="48" t="n"/>
      <c r="E102" s="48" t="n"/>
      <c r="F102" s="48" t="n"/>
      <c r="G102" s="48" t="n"/>
      <c r="H102" s="22" t="n">
        <v>3</v>
      </c>
      <c r="I102" s="23" t="inlineStr">
        <is>
          <t>Write a point-of-view statement in the form: *[user] needs [need] because [insight]*.</t>
        </is>
      </c>
      <c r="J102" s="24" t="inlineStr">
        <is>
          <t>Done</t>
        </is>
      </c>
      <c r="K102" s="25" t="n">
        <v>46280</v>
      </c>
      <c r="L102" s="25" t="n">
        <v>46280</v>
      </c>
      <c r="M102" s="26" t="n">
        <v>0.25</v>
      </c>
      <c r="N102" s="48" t="n"/>
      <c r="O102" s="48" t="n"/>
      <c r="P102" s="48" t="n"/>
      <c r="Q102" s="48" t="n"/>
      <c r="R102" s="48" t="n"/>
      <c r="S102" s="48" t="n"/>
    </row>
    <row r="103" ht="19.5" customHeight="1" s="71">
      <c r="A103" s="48" t="n"/>
      <c r="B103" s="48" t="n"/>
      <c r="C103" s="48" t="n"/>
      <c r="D103" s="48" t="n"/>
      <c r="E103" s="48" t="n"/>
      <c r="F103" s="48" t="n"/>
      <c r="G103" s="48" t="n"/>
      <c r="H103" s="22" t="n">
        <v>4</v>
      </c>
      <c r="I103" s="23" t="inlineStr">
        <is>
          <t>Generate five "How Might We" questions from it.</t>
        </is>
      </c>
      <c r="J103" s="24" t="inlineStr">
        <is>
          <t>Done</t>
        </is>
      </c>
      <c r="K103" s="25" t="n">
        <v>46280</v>
      </c>
      <c r="L103" s="25" t="n">
        <v>46280</v>
      </c>
      <c r="M103" s="26" t="n">
        <v>0.2</v>
      </c>
      <c r="N103" s="48" t="n"/>
      <c r="O103" s="48" t="n"/>
      <c r="P103" s="48" t="n"/>
      <c r="Q103" s="48" t="n"/>
      <c r="R103" s="48" t="n"/>
      <c r="S103" s="48" t="n"/>
    </row>
    <row r="104" ht="55.5" customHeight="1" s="71">
      <c r="A104" s="49" t="n"/>
      <c r="B104" s="49" t="n"/>
      <c r="C104" s="49" t="n"/>
      <c r="D104" s="49" t="n"/>
      <c r="E104" s="49" t="n"/>
      <c r="F104" s="49" t="n"/>
      <c r="G104" s="49" t="n"/>
      <c r="H104" s="27" t="n">
        <v>5</v>
      </c>
      <c r="I104" s="28" t="inlineStr">
        <is>
          <t>Pressure-test with Claude: *"Here's my POV statement and five HMW questions from user research on a pet-sitting app. Which of these are actually solutions in disguise? Which are too broad to act on?"* Revise accordingly.</t>
        </is>
      </c>
      <c r="J104" s="29" t="inlineStr">
        <is>
          <t>Done</t>
        </is>
      </c>
      <c r="K104" s="31" t="n">
        <v>46280</v>
      </c>
      <c r="L104" s="31" t="n">
        <v>46280</v>
      </c>
      <c r="M104" s="30" t="n">
        <v>0.3</v>
      </c>
      <c r="N104" s="49" t="n"/>
      <c r="O104" s="49" t="n"/>
      <c r="P104" s="49" t="n"/>
      <c r="Q104" s="49" t="n"/>
      <c r="R104" s="49" t="n"/>
      <c r="S104" s="49" t="n"/>
    </row>
    <row r="105" ht="30" customHeight="1" s="71">
      <c r="A105" s="65" t="inlineStr">
        <is>
          <t>2.4</t>
        </is>
      </c>
      <c r="B105" s="54" t="n">
        <v>2</v>
      </c>
      <c r="C105" s="64" t="inlineStr">
        <is>
          <t>Practise: Ideate — quantity before quality</t>
        </is>
      </c>
      <c r="D105" s="54" t="inlineStr">
        <is>
          <t>Practise</t>
        </is>
      </c>
      <c r="E105" s="54" t="n">
        <v>3</v>
      </c>
      <c r="F105" s="47">
        <f>IF(COUNTIF($J105:$J109,"Done")=5,"Done",IF(COUNTIF($J105:$J109,"Blocked")&gt;0,"Blocked",IF(COUNTIF($J105:$J109,"To do")=5,"Not started","In progress")))</f>
        <v/>
      </c>
      <c r="G105" s="47">
        <f>IF(SUM($M105:$M109)=0,"",SUM($M105:$M109))</f>
        <v/>
      </c>
      <c r="H105" s="17" t="n">
        <v>1</v>
      </c>
      <c r="I105" s="18" t="inlineStr">
        <is>
          <t>Read about ideation methods, focusing on Crazy Eights and SCAMPER.</t>
        </is>
      </c>
      <c r="J105" s="19" t="inlineStr">
        <is>
          <t>Done</t>
        </is>
      </c>
      <c r="K105" s="20" t="n">
        <v>46280</v>
      </c>
      <c r="L105" s="20" t="n">
        <v>46280</v>
      </c>
      <c r="M105" s="21" t="n">
        <v>0.25</v>
      </c>
      <c r="N105" s="53" t="inlineStr">
        <is>
          <t>Ideation is a volume game. Your first five ideas are everyone's first five ideas; the interesting ones live at idea twenty.</t>
        </is>
      </c>
      <c r="O105" s="53" t="inlineStr">
        <is>
          <t>• IxDF: *Ideation* — https://www.interaction-design.org/literature/topics/ideation
• Crazy Eights method — https://www.designkit.org/methods
• IxDF: *SCAMPER* — https://www.interaction-design.org/literature/article/learn-how-to-use-the-best-ideation-methods-scamper</t>
        </is>
      </c>
      <c r="P105" s="53" t="inlineStr">
        <is>
          <t>Step 3's "deliberately impractical" instruction matters. Impractical ideas are where the genuinely new ones hide — you fish them out later.
---
---</t>
        </is>
      </c>
      <c r="Q105" s="53" t="inlineStr">
        <is>
          <t>—</t>
        </is>
      </c>
      <c r="R105" s="54" t="n"/>
      <c r="S105" s="53" t="n"/>
    </row>
    <row r="106" ht="30" customHeight="1" s="71">
      <c r="A106" s="48" t="n"/>
      <c r="B106" s="48" t="n"/>
      <c r="C106" s="48" t="n"/>
      <c r="D106" s="48" t="n"/>
      <c r="E106" s="48" t="n"/>
      <c r="F106" s="48" t="n"/>
      <c r="G106" s="48" t="n"/>
      <c r="H106" s="22" t="n">
        <v>2</v>
      </c>
      <c r="I106" s="23" t="inlineStr">
        <is>
          <t>Do a genuine Crazy Eights on paper for your best HMW question: eight sketches, eight minutes, no editing.</t>
        </is>
      </c>
      <c r="J106" s="24" t="inlineStr">
        <is>
          <t>Done</t>
        </is>
      </c>
      <c r="K106" s="25" t="n">
        <v>46280</v>
      </c>
      <c r="L106" s="25" t="n">
        <v>46280</v>
      </c>
      <c r="M106" s="26" t="n">
        <v>0.2</v>
      </c>
      <c r="N106" s="48" t="n"/>
      <c r="O106" s="48" t="n"/>
      <c r="P106" s="48" t="n"/>
      <c r="Q106" s="48" t="n"/>
      <c r="R106" s="48" t="n"/>
      <c r="S106" s="48" t="n"/>
    </row>
    <row r="107" ht="55.5" customHeight="1" s="71">
      <c r="A107" s="48" t="n"/>
      <c r="B107" s="48" t="n"/>
      <c r="C107" s="48" t="n"/>
      <c r="D107" s="48" t="n"/>
      <c r="E107" s="48" t="n"/>
      <c r="F107" s="48" t="n"/>
      <c r="G107" s="48" t="n"/>
      <c r="H107" s="22" t="n">
        <v>3</v>
      </c>
      <c r="I107" s="23" t="inlineStr">
        <is>
          <t>Now use Claude as a divergence partner: *"Here's my problem statement. Give me 25 distinct solution directions, including at least 5 that are deliberately impractical. Don't evaluate them."*</t>
        </is>
      </c>
      <c r="J107" s="24" t="inlineStr">
        <is>
          <t>Done</t>
        </is>
      </c>
      <c r="K107" s="25" t="n">
        <v>46280</v>
      </c>
      <c r="L107" s="25" t="n">
        <v>46280</v>
      </c>
      <c r="M107" s="26" t="n">
        <v>0.1</v>
      </c>
      <c r="N107" s="48" t="n"/>
      <c r="O107" s="48" t="n"/>
      <c r="P107" s="48" t="n"/>
      <c r="Q107" s="48" t="n"/>
      <c r="R107" s="48" t="n"/>
      <c r="S107" s="48" t="n"/>
    </row>
    <row r="108" ht="30" customHeight="1" s="71">
      <c r="A108" s="48" t="n"/>
      <c r="B108" s="48" t="n"/>
      <c r="C108" s="48" t="n"/>
      <c r="D108" s="48" t="n"/>
      <c r="E108" s="48" t="n"/>
      <c r="F108" s="48" t="n"/>
      <c r="G108" s="48" t="n"/>
      <c r="H108" s="22" t="n">
        <v>4</v>
      </c>
      <c r="I108" s="23" t="inlineStr">
        <is>
          <t>Merge your eight and Claude's twenty-five. Cluster into themes and pick three directions to carry forward.</t>
        </is>
      </c>
      <c r="J108" s="24" t="inlineStr">
        <is>
          <t>Done</t>
        </is>
      </c>
      <c r="K108" s="25" t="n">
        <v>46280</v>
      </c>
      <c r="L108" s="25" t="n">
        <v>46280</v>
      </c>
      <c r="M108" s="26" t="n">
        <v>0.4</v>
      </c>
      <c r="N108" s="48" t="n"/>
      <c r="O108" s="48" t="n"/>
      <c r="P108" s="48" t="n"/>
      <c r="Q108" s="48" t="n"/>
      <c r="R108" s="48" t="n"/>
      <c r="S108" s="48" t="n"/>
    </row>
    <row r="109" ht="30" customHeight="1" s="71">
      <c r="A109" s="49" t="n"/>
      <c r="B109" s="49" t="n"/>
      <c r="C109" s="49" t="n"/>
      <c r="D109" s="49" t="n"/>
      <c r="E109" s="49" t="n"/>
      <c r="F109" s="49" t="n"/>
      <c r="G109" s="49" t="n"/>
      <c r="H109" s="27" t="n">
        <v>5</v>
      </c>
      <c r="I109" s="28" t="inlineStr">
        <is>
          <t>Journal: which came from you, which from Claude, and which came from combining the two?</t>
        </is>
      </c>
      <c r="J109" s="29" t="inlineStr">
        <is>
          <t>Done</t>
        </is>
      </c>
      <c r="K109" s="31" t="n">
        <v>46280</v>
      </c>
      <c r="L109" s="31" t="n">
        <v>46280</v>
      </c>
      <c r="M109" s="30" t="n">
        <v>0.2</v>
      </c>
      <c r="N109" s="49" t="n"/>
      <c r="O109" s="49" t="n"/>
      <c r="P109" s="49" t="n"/>
      <c r="Q109" s="49" t="n"/>
      <c r="R109" s="49" t="n"/>
      <c r="S109" s="49" t="n"/>
    </row>
    <row r="110" ht="19.5" customHeight="1" s="71">
      <c r="A110" s="60" t="inlineStr">
        <is>
          <t>2.5</t>
        </is>
      </c>
      <c r="B110" s="51" t="n">
        <v>2</v>
      </c>
      <c r="C110" s="50" t="inlineStr">
        <is>
          <t>Learn: Prototype — choosing a fidelity</t>
        </is>
      </c>
      <c r="D110" s="51" t="inlineStr">
        <is>
          <t>Learn</t>
        </is>
      </c>
      <c r="E110" s="51" t="n">
        <v>2</v>
      </c>
      <c r="F110" s="55">
        <f>IF(COUNTIF($J110:$J114,"Done")=5,"Done",IF(COUNTIF($J110:$J114,"Blocked")&gt;0,"Blocked",IF(COUNTIF($J110:$J114,"To do")=5,"Not started","In progress")))</f>
        <v/>
      </c>
      <c r="G110" s="55">
        <f>IF(SUM($M110:$M114)=0,"",SUM($M110:$M114))</f>
        <v/>
      </c>
      <c r="H110" s="17" t="n">
        <v>1</v>
      </c>
      <c r="I110" s="18" t="inlineStr">
        <is>
          <t>Read both.</t>
        </is>
      </c>
      <c r="J110" s="19" t="inlineStr">
        <is>
          <t>Done</t>
        </is>
      </c>
      <c r="K110" s="20" t="n">
        <v>46280</v>
      </c>
      <c r="L110" s="20" t="n">
        <v>46280</v>
      </c>
      <c r="M110" s="21" t="n">
        <v>0.25</v>
      </c>
      <c r="N110" s="52" t="inlineStr">
        <is>
          <t>A prototype exists to answer a question. Which question you're asking determines how rough it should be — and rougher is usually right.</t>
        </is>
      </c>
      <c r="O110" s="52" t="inlineStr">
        <is>
          <t>• IxDF: *Prototyping* — https://www.interaction-design.org/literature/topics/prototyping
• NN/g: *Low-Fidelity vs High-Fidelity Prototyping* — https://www.nngroup.com/articles/ux-prototype-hi-lo-fidelity/</t>
        </is>
      </c>
      <c r="P110" s="52" t="inlineStr">
        <is>
          <t>Polished prototypes get comments about the button colour. Rough ones get comments about whether the idea works. Early on, you want the second kind.
---
---</t>
        </is>
      </c>
      <c r="Q110" s="52" t="inlineStr">
        <is>
          <t>—</t>
        </is>
      </c>
      <c r="R110" s="51" t="n"/>
      <c r="S110" s="52" t="n"/>
    </row>
    <row r="111" ht="42.75" customHeight="1" s="71">
      <c r="A111" s="48" t="n"/>
      <c r="B111" s="48" t="n"/>
      <c r="C111" s="48" t="n"/>
      <c r="D111" s="48" t="n"/>
      <c r="E111" s="48" t="n"/>
      <c r="F111" s="48" t="n"/>
      <c r="G111" s="48" t="n"/>
      <c r="H111" s="22" t="n">
        <v>2</v>
      </c>
      <c r="I111" s="23" t="inlineStr">
        <is>
          <t>Make a table: paper sketch, wireframe, clickable wireframe, hi-fi interactive. For each — what question it answers, what it costs, what feedback it attracts.</t>
        </is>
      </c>
      <c r="J111" s="24" t="inlineStr">
        <is>
          <t>Done</t>
        </is>
      </c>
      <c r="K111" s="25" t="n">
        <v>46281</v>
      </c>
      <c r="L111" s="25" t="n">
        <v>46281</v>
      </c>
      <c r="M111" s="26" t="n">
        <v>0.35</v>
      </c>
      <c r="N111" s="48" t="n"/>
      <c r="O111" s="48" t="n"/>
      <c r="P111" s="48" t="n"/>
      <c r="Q111" s="48" t="n"/>
      <c r="R111" s="48" t="n"/>
      <c r="S111" s="48" t="n"/>
    </row>
    <row r="112" ht="42.75" customHeight="1" s="71">
      <c r="A112" s="48" t="n"/>
      <c r="B112" s="48" t="n"/>
      <c r="C112" s="48" t="n"/>
      <c r="D112" s="48" t="n"/>
      <c r="E112" s="48" t="n"/>
      <c r="F112" s="48" t="n"/>
      <c r="G112" s="48" t="n"/>
      <c r="H112" s="22" t="n">
        <v>3</v>
      </c>
      <c r="I112" s="23" t="inlineStr">
        <is>
          <t>For each of your three PawPal directions, decide which fidelity you'd build first and write one line of justification.</t>
        </is>
      </c>
      <c r="J112" s="24" t="inlineStr">
        <is>
          <t>Done</t>
        </is>
      </c>
      <c r="K112" s="25" t="n">
        <v>46281</v>
      </c>
      <c r="L112" s="25" t="n">
        <v>46281</v>
      </c>
      <c r="M112" s="26" t="n">
        <v>0.25</v>
      </c>
      <c r="N112" s="48" t="n"/>
      <c r="O112" s="48" t="n"/>
      <c r="P112" s="48" t="n"/>
      <c r="Q112" s="48" t="n"/>
      <c r="R112" s="48" t="n"/>
      <c r="S112" s="48" t="n"/>
    </row>
    <row r="113" ht="42.75" customHeight="1" s="71">
      <c r="A113" s="48" t="n"/>
      <c r="B113" s="48" t="n"/>
      <c r="C113" s="48" t="n"/>
      <c r="D113" s="48" t="n"/>
      <c r="E113" s="48" t="n"/>
      <c r="F113" s="48" t="n"/>
      <c r="G113" s="48" t="n"/>
      <c r="H113" s="22" t="n">
        <v>4</v>
      </c>
      <c r="I113" s="23" t="inlineStr">
        <is>
          <t>Ask Claude to challenge you: *"For each of these three, argue that I've chosen the wrong fidelity."* Note where the challenge lands.</t>
        </is>
      </c>
      <c r="J113" s="24" t="inlineStr">
        <is>
          <t>Done</t>
        </is>
      </c>
      <c r="K113" s="25" t="n">
        <v>46281</v>
      </c>
      <c r="L113" s="25" t="n">
        <v>46281</v>
      </c>
      <c r="M113" s="26" t="n">
        <v>0.15</v>
      </c>
      <c r="N113" s="48" t="n"/>
      <c r="O113" s="48" t="n"/>
      <c r="P113" s="48" t="n"/>
      <c r="Q113" s="48" t="n"/>
      <c r="R113" s="48" t="n"/>
      <c r="S113" s="48" t="n"/>
    </row>
    <row r="114" ht="19.5" customHeight="1" s="71">
      <c r="A114" s="49" t="n"/>
      <c r="B114" s="49" t="n"/>
      <c r="C114" s="49" t="n"/>
      <c r="D114" s="49" t="n"/>
      <c r="E114" s="49" t="n"/>
      <c r="F114" s="49" t="n"/>
      <c r="G114" s="49" t="n"/>
      <c r="H114" s="27" t="n">
        <v>5</v>
      </c>
      <c r="I114" s="28" t="inlineStr">
        <is>
          <t>Journal the rule you'll apply going forward.</t>
        </is>
      </c>
      <c r="J114" s="29" t="inlineStr">
        <is>
          <t>Done</t>
        </is>
      </c>
      <c r="K114" s="31" t="n">
        <v>46281</v>
      </c>
      <c r="L114" s="31" t="n">
        <v>46281</v>
      </c>
      <c r="M114" s="30" t="n">
        <v>0.15</v>
      </c>
      <c r="N114" s="49" t="n"/>
      <c r="O114" s="49" t="n"/>
      <c r="P114" s="49" t="n"/>
      <c r="Q114" s="49" t="n"/>
      <c r="R114" s="49" t="n"/>
      <c r="S114" s="49" t="n"/>
    </row>
    <row r="115" ht="19.5" customHeight="1" s="71">
      <c r="A115" s="65" t="inlineStr">
        <is>
          <t>2.6</t>
        </is>
      </c>
      <c r="B115" s="54" t="n">
        <v>2</v>
      </c>
      <c r="C115" s="64" t="inlineStr">
        <is>
          <t>Learn: Test — usability testing without a lab</t>
        </is>
      </c>
      <c r="D115" s="54" t="inlineStr">
        <is>
          <t>Learn</t>
        </is>
      </c>
      <c r="E115" s="54" t="n">
        <v>3</v>
      </c>
      <c r="F115" s="47">
        <f>IF(COUNTIF($J115:$J119,"Done")=5,"Done",IF(COUNTIF($J115:$J119,"Blocked")&gt;0,"Blocked",IF(COUNTIF($J115:$J119,"To do")=5,"Not started","In progress")))</f>
        <v/>
      </c>
      <c r="G115" s="47">
        <f>IF(SUM($M115:$M119)=0,"",SUM($M115:$M119))</f>
        <v/>
      </c>
      <c r="H115" s="17" t="n">
        <v>1</v>
      </c>
      <c r="I115" s="18" t="inlineStr">
        <is>
          <t>Read both NN/g articles and watch the demo session.</t>
        </is>
      </c>
      <c r="J115" s="19" t="inlineStr">
        <is>
          <t>Done</t>
        </is>
      </c>
      <c r="K115" s="25" t="n">
        <v>46281</v>
      </c>
      <c r="L115" s="25" t="n">
        <v>46281</v>
      </c>
      <c r="M115" s="21" t="n">
        <v>0.4</v>
      </c>
      <c r="N115" s="53" t="inlineStr">
        <is>
          <t>Testing is watching a real person try to do a real task and noticing where they stumble. It requires five people and no budget.</t>
        </is>
      </c>
      <c r="O115" s="53" t="inlineStr">
        <is>
          <t>• NN/g: *Why You Only Need to Test with 5 Users* — https://www.nngroup.com/articles/why-you-only-need-to-test-with-5-users/
• NN/g: *Usability Testing 101* — https://www.nngroup.com/articles/usability-testing-101/
• Steve Krug: *Rocket Surgery Made Easy* demo — https://www.sensible.com/rsme.html</t>
        </is>
      </c>
      <c r="P115" s="53" t="inlineStr">
        <is>
          <t>Your instinct during a test will be to step in and help when someone pauses. Sit on your hands. Those pauses are the entire product of the exercise — they're telling you exactly what to improve.
---
---</t>
        </is>
      </c>
      <c r="Q115" s="53" t="inlineStr">
        <is>
          <t>—</t>
        </is>
      </c>
      <c r="R115" s="54" t="n"/>
      <c r="S115" s="53" t="n"/>
    </row>
    <row r="116" ht="55.5" customHeight="1" s="71">
      <c r="A116" s="48" t="n"/>
      <c r="B116" s="48" t="n"/>
      <c r="C116" s="48" t="n"/>
      <c r="D116" s="48" t="n"/>
      <c r="E116" s="48" t="n"/>
      <c r="F116" s="48" t="n"/>
      <c r="G116" s="48" t="n"/>
      <c r="H116" s="22" t="n">
        <v>2</v>
      </c>
      <c r="I116" s="23" t="inlineStr">
        <is>
          <t>Write a five-task usability test script for a PawPal paper prototype — tasks phrased as goals, never as instructions ("book someone to look after your dog next weekend", not "click the Book button").</t>
        </is>
      </c>
      <c r="J116" s="24" t="inlineStr">
        <is>
          <t>Done</t>
        </is>
      </c>
      <c r="K116" s="25" t="n">
        <v>46281</v>
      </c>
      <c r="L116" s="25" t="n">
        <v>46281</v>
      </c>
      <c r="M116" s="26" t="n">
        <v>0.4</v>
      </c>
      <c r="N116" s="48" t="n"/>
      <c r="O116" s="48" t="n"/>
      <c r="P116" s="48" t="n"/>
      <c r="Q116" s="48" t="n"/>
      <c r="R116" s="48" t="n"/>
      <c r="S116" s="48" t="n"/>
    </row>
    <row r="117" ht="42.75" customHeight="1" s="71">
      <c r="A117" s="48" t="n"/>
      <c r="B117" s="48" t="n"/>
      <c r="C117" s="48" t="n"/>
      <c r="D117" s="48" t="n"/>
      <c r="E117" s="48" t="n"/>
      <c r="F117" s="48" t="n"/>
      <c r="G117" s="48" t="n"/>
      <c r="H117" s="22" t="n">
        <v>3</v>
      </c>
      <c r="I117" s="23" t="inlineStr">
        <is>
          <t>Have Claude review it: *"Here's a usability test script. Which of these tasks leak the answer, and which are too vague to complete?"*</t>
        </is>
      </c>
      <c r="J117" s="24" t="inlineStr">
        <is>
          <t>Done</t>
        </is>
      </c>
      <c r="K117" s="25" t="n">
        <v>46281</v>
      </c>
      <c r="L117" s="25" t="n">
        <v>46281</v>
      </c>
      <c r="M117" s="26" t="n">
        <v>0.15</v>
      </c>
      <c r="N117" s="48" t="n"/>
      <c r="O117" s="48" t="n"/>
      <c r="P117" s="48" t="n"/>
      <c r="Q117" s="48" t="n"/>
      <c r="R117" s="48" t="n"/>
      <c r="S117" s="48" t="n"/>
    </row>
    <row r="118" ht="30" customHeight="1" s="71">
      <c r="A118" s="48" t="n"/>
      <c r="B118" s="48" t="n"/>
      <c r="C118" s="48" t="n"/>
      <c r="D118" s="48" t="n"/>
      <c r="E118" s="48" t="n"/>
      <c r="F118" s="48" t="n"/>
      <c r="G118" s="48" t="n"/>
      <c r="H118" s="22" t="n">
        <v>4</v>
      </c>
      <c r="I118" s="23" t="inlineStr">
        <is>
          <t>Sketch a rough paper prototype and run the test on one colleague.</t>
        </is>
      </c>
      <c r="J118" s="24" t="inlineStr">
        <is>
          <t>Done</t>
        </is>
      </c>
      <c r="K118" s="25" t="n">
        <v>46281</v>
      </c>
      <c r="L118" s="25" t="n">
        <v>46281</v>
      </c>
      <c r="M118" s="26" t="n">
        <v>0.6</v>
      </c>
      <c r="N118" s="48" t="n"/>
      <c r="O118" s="48" t="n"/>
      <c r="P118" s="48" t="n"/>
      <c r="Q118" s="48" t="n"/>
      <c r="R118" s="48" t="n"/>
      <c r="S118" s="48" t="n"/>
    </row>
    <row r="119" ht="30" customHeight="1" s="71">
      <c r="A119" s="49" t="n"/>
      <c r="B119" s="49" t="n"/>
      <c r="C119" s="49" t="n"/>
      <c r="D119" s="49" t="n"/>
      <c r="E119" s="49" t="n"/>
      <c r="F119" s="49" t="n"/>
      <c r="G119" s="49" t="n"/>
      <c r="H119" s="27" t="n">
        <v>5</v>
      </c>
      <c r="I119" s="28" t="inlineStr">
        <is>
          <t>Write up: three things that worked, three things that broke, one thing you'd never have predicted.</t>
        </is>
      </c>
      <c r="J119" s="29" t="inlineStr">
        <is>
          <t>Done</t>
        </is>
      </c>
      <c r="K119" s="31" t="n">
        <v>46281</v>
      </c>
      <c r="L119" s="31" t="n">
        <v>46281</v>
      </c>
      <c r="M119" s="30" t="n">
        <v>0.3</v>
      </c>
      <c r="N119" s="49" t="n"/>
      <c r="O119" s="49" t="n"/>
      <c r="P119" s="49" t="n"/>
      <c r="Q119" s="49" t="n"/>
      <c r="R119" s="49" t="n"/>
      <c r="S119" s="49" t="n"/>
    </row>
    <row r="120" ht="30" customHeight="1" s="71">
      <c r="A120" s="60" t="inlineStr">
        <is>
          <t>2.7</t>
        </is>
      </c>
      <c r="B120" s="51" t="n">
        <v>2</v>
      </c>
      <c r="C120" s="50" t="inlineStr">
        <is>
          <t>Build: Run the whole loop on Brief A</t>
        </is>
      </c>
      <c r="D120" s="51" t="inlineStr">
        <is>
          <t>Build</t>
        </is>
      </c>
      <c r="E120" s="51" t="n">
        <v>4</v>
      </c>
      <c r="F120" s="55">
        <f>IF(COUNTIF($J120:$J124,"Done")=5,"Done",IF(COUNTIF($J120:$J124,"Blocked")&gt;0,"Blocked",IF(COUNTIF($J120:$J124,"To do")=5,"Not started","In progress")))</f>
        <v/>
      </c>
      <c r="G120" s="55">
        <f>IF(SUM($M120:$M124)=0,"",SUM($M120:$M124))</f>
        <v/>
      </c>
      <c r="H120" s="17" t="n">
        <v>1</v>
      </c>
      <c r="I120" s="18" t="inlineStr">
        <is>
          <t>Assemble everything you've made for PawPal into one document, organised by the five stages.</t>
        </is>
      </c>
      <c r="J120" s="19" t="inlineStr">
        <is>
          <t>Done</t>
        </is>
      </c>
      <c r="K120" s="20" t="n">
        <v>46281</v>
      </c>
      <c r="L120" s="20" t="n">
        <v>46281</v>
      </c>
      <c r="M120" s="21" t="n">
        <v>0.5</v>
      </c>
      <c r="N120" s="52" t="inlineStr">
        <is>
          <t>Integration task. Take PawPal from brief to tested paper prototype in one continuous pass, and write it up.</t>
        </is>
      </c>
      <c r="O120" s="52" t="inlineStr">
        <is>
          <t>• Brief A: PawPal — Appendix A
• Your outputs from Tasks 2.2 to 2.6</t>
        </is>
      </c>
      <c r="P120" s="52" t="inlineStr">
        <is>
          <t>This is the first artefact in your portfolio. It won't be your best work — it's meant to be the baseline you measure Module 9 against.
---
---</t>
        </is>
      </c>
      <c r="Q120" s="52" t="inlineStr">
        <is>
          <t>—</t>
        </is>
      </c>
      <c r="R120" s="51" t="n"/>
      <c r="S120" s="52" t="n"/>
    </row>
    <row r="121" ht="30" customHeight="1" s="71">
      <c r="A121" s="48" t="n"/>
      <c r="B121" s="48" t="n"/>
      <c r="C121" s="48" t="n"/>
      <c r="D121" s="48" t="n"/>
      <c r="E121" s="48" t="n"/>
      <c r="F121" s="48" t="n"/>
      <c r="G121" s="48" t="n"/>
      <c r="H121" s="22" t="n">
        <v>2</v>
      </c>
      <c r="I121" s="23" t="inlineStr">
        <is>
          <t>Fill any gaps — if you skipped a stage's output, do it now.</t>
        </is>
      </c>
      <c r="J121" s="24" t="inlineStr">
        <is>
          <t>Done</t>
        </is>
      </c>
      <c r="K121" s="25" t="n"/>
      <c r="L121" s="25" t="n"/>
      <c r="M121" s="26" t="n">
        <v>0.3</v>
      </c>
      <c r="N121" s="48" t="n"/>
      <c r="O121" s="48" t="n"/>
      <c r="P121" s="48" t="n"/>
      <c r="Q121" s="48" t="n"/>
      <c r="R121" s="48" t="n"/>
      <c r="S121" s="48" t="n"/>
    </row>
    <row r="122" ht="30" customHeight="1" s="71">
      <c r="A122" s="48" t="n"/>
      <c r="B122" s="48" t="n"/>
      <c r="C122" s="48" t="n"/>
      <c r="D122" s="48" t="n"/>
      <c r="E122" s="48" t="n"/>
      <c r="F122" s="48" t="n"/>
      <c r="G122" s="48" t="n"/>
      <c r="H122" s="22" t="n">
        <v>3</v>
      </c>
      <c r="I122" s="23" t="inlineStr">
        <is>
          <t>Add a one-page "what I learned" section: where the process helped, where it felt like overhead.</t>
        </is>
      </c>
      <c r="J122" s="24" t="inlineStr">
        <is>
          <t>Done</t>
        </is>
      </c>
      <c r="K122" s="25" t="n">
        <v>46281</v>
      </c>
      <c r="L122" s="25" t="n">
        <v>46281</v>
      </c>
      <c r="M122" s="26" t="n">
        <v>0.6</v>
      </c>
      <c r="N122" s="48" t="n"/>
      <c r="O122" s="48" t="n"/>
      <c r="P122" s="48" t="n"/>
      <c r="Q122" s="48" t="n"/>
      <c r="R122" s="48" t="n"/>
      <c r="S122" s="48" t="n"/>
    </row>
    <row r="123" ht="55.5" customHeight="1" s="71">
      <c r="A123" s="48" t="n"/>
      <c r="B123" s="48" t="n"/>
      <c r="C123" s="48" t="n"/>
      <c r="D123" s="48" t="n"/>
      <c r="E123" s="48" t="n"/>
      <c r="F123" s="48" t="n"/>
      <c r="G123" s="48" t="n"/>
      <c r="H123" s="22" t="n">
        <v>4</v>
      </c>
      <c r="I123" s="23" t="inlineStr">
        <is>
          <t>Ask Claude for a critique: *"This is a junior product manager's first end-to-end discovery write-up. Review it the way a product lead would — be specific about what's missing, not encouraging."*</t>
        </is>
      </c>
      <c r="J123" s="24" t="inlineStr">
        <is>
          <t>Done</t>
        </is>
      </c>
      <c r="K123" s="25" t="n">
        <v>46281</v>
      </c>
      <c r="L123" s="25" t="n">
        <v>46281</v>
      </c>
      <c r="M123" s="26" t="n">
        <v>0.15</v>
      </c>
      <c r="N123" s="48" t="n"/>
      <c r="O123" s="48" t="n"/>
      <c r="P123" s="48" t="n"/>
      <c r="Q123" s="48" t="n"/>
      <c r="R123" s="48" t="n"/>
      <c r="S123" s="48" t="n"/>
    </row>
    <row r="124" ht="30" customHeight="1" s="71">
      <c r="A124" s="49" t="n"/>
      <c r="B124" s="49" t="n"/>
      <c r="C124" s="49" t="n"/>
      <c r="D124" s="49" t="n"/>
      <c r="E124" s="49" t="n"/>
      <c r="F124" s="49" t="n"/>
      <c r="G124" s="49" t="n"/>
      <c r="H124" s="27" t="n">
        <v>5</v>
      </c>
      <c r="I124" s="28" t="inlineStr">
        <is>
          <t>Revise once, then save as `Brief-A-PawPal-Process.md` in your `03-Briefs` folder.</t>
        </is>
      </c>
      <c r="J124" s="29" t="inlineStr">
        <is>
          <t>Done</t>
        </is>
      </c>
      <c r="K124" s="31" t="n">
        <v>46281</v>
      </c>
      <c r="L124" s="31" t="n">
        <v>46281</v>
      </c>
      <c r="M124" s="30" t="n">
        <v>0.4</v>
      </c>
      <c r="N124" s="49" t="n"/>
      <c r="O124" s="49" t="n"/>
      <c r="P124" s="49" t="n"/>
      <c r="Q124" s="49" t="n"/>
      <c r="R124" s="49" t="n"/>
      <c r="S124" s="49" t="n"/>
    </row>
    <row r="125" ht="25.5" customHeight="1" s="71">
      <c r="A125" s="61" t="inlineStr">
        <is>
          <t xml:space="preserve">  Module 3 · Working with Designers — 8 hrs · 3 tasks</t>
        </is>
      </c>
      <c r="B125" s="62" t="n"/>
      <c r="C125" s="62" t="n"/>
      <c r="D125" s="62" t="n"/>
      <c r="E125" s="62" t="n"/>
      <c r="F125" s="62" t="n"/>
      <c r="G125" s="62" t="n"/>
      <c r="H125" s="62" t="n"/>
      <c r="I125" s="62" t="n"/>
      <c r="J125" s="62" t="n"/>
      <c r="K125" s="62" t="n"/>
      <c r="L125" s="62" t="n"/>
      <c r="M125" s="62" t="n"/>
      <c r="N125" s="62" t="n"/>
      <c r="O125" s="62" t="n"/>
      <c r="P125" s="62" t="n"/>
      <c r="Q125" s="62" t="n"/>
      <c r="R125" s="62" t="n"/>
      <c r="S125" s="63" t="n"/>
    </row>
    <row r="126" ht="18" customHeight="1" s="71">
      <c r="A126" s="59" t="inlineStr">
        <is>
          <t>Goal</t>
        </is>
      </c>
      <c r="B126" s="58" t="n"/>
      <c r="C126" s="56" t="inlineStr">
        <is>
          <t>I can brief a designer, critique their work usefully, and tell when a screen isn't working.</t>
        </is>
      </c>
      <c r="D126" s="57" t="n"/>
      <c r="E126" s="57" t="n"/>
      <c r="F126" s="57" t="n"/>
      <c r="G126" s="57" t="n"/>
      <c r="H126" s="57" t="n"/>
      <c r="I126" s="57" t="n"/>
      <c r="J126" s="57" t="n"/>
      <c r="K126" s="57" t="n"/>
      <c r="L126" s="57" t="n"/>
      <c r="M126" s="57" t="n"/>
      <c r="N126" s="57" t="n"/>
      <c r="O126" s="57" t="n"/>
      <c r="P126" s="57" t="n"/>
      <c r="Q126" s="57" t="n"/>
      <c r="R126" s="57" t="n"/>
      <c r="S126" s="58" t="n"/>
    </row>
    <row r="127" ht="18" customHeight="1" s="71">
      <c r="A127" s="59" t="inlineStr">
        <is>
          <t>About</t>
        </is>
      </c>
      <c r="B127" s="58" t="n"/>
      <c r="C127" s="56" t="inlineStr">
        <is>
          <t>You are not the designer. You are the person who briefs them, reviews their work, and has to tell a client why a screen is the way it is. That takes enough visual literacy to be useful and enough restraint to stay out of the craft. Three tasks, and deliberately no more.
---</t>
        </is>
      </c>
      <c r="D127" s="57" t="n"/>
      <c r="E127" s="57" t="n"/>
      <c r="F127" s="57" t="n"/>
      <c r="G127" s="57" t="n"/>
      <c r="H127" s="57" t="n"/>
      <c r="I127" s="57" t="n"/>
      <c r="J127" s="57" t="n"/>
      <c r="K127" s="57" t="n"/>
      <c r="L127" s="57" t="n"/>
      <c r="M127" s="57" t="n"/>
      <c r="N127" s="57" t="n"/>
      <c r="O127" s="57" t="n"/>
      <c r="P127" s="57" t="n"/>
      <c r="Q127" s="57" t="n"/>
      <c r="R127" s="57" t="n"/>
      <c r="S127" s="58" t="n"/>
    </row>
    <row r="128" ht="18" customHeight="1" s="71">
      <c r="A128" s="59" t="inlineStr">
        <is>
          <t>Checkpoint</t>
        </is>
      </c>
      <c r="B128" s="58" t="n"/>
      <c r="C128" s="56" t="inlineStr">
        <is>
          <t>Bring: your critique of the bad screen and of a real one, your ten annotated critiques with what you learned about preference versus principle, and your notes on what a design system buys a team.
---</t>
        </is>
      </c>
      <c r="D128" s="57" t="n"/>
      <c r="E128" s="57" t="n"/>
      <c r="F128" s="57" t="n"/>
      <c r="G128" s="57" t="n"/>
      <c r="H128" s="57" t="n"/>
      <c r="I128" s="57" t="n"/>
      <c r="J128" s="57" t="n"/>
      <c r="K128" s="57" t="n"/>
      <c r="L128" s="57" t="n"/>
      <c r="M128" s="57" t="n"/>
      <c r="N128" s="57" t="n"/>
      <c r="O128" s="57" t="n"/>
      <c r="P128" s="57" t="n"/>
      <c r="Q128" s="57" t="n"/>
      <c r="R128" s="57" t="n"/>
      <c r="S128" s="58" t="n"/>
    </row>
    <row r="129" ht="30" customHeight="1" s="71">
      <c r="A129" s="65" t="inlineStr">
        <is>
          <t>3.1</t>
        </is>
      </c>
      <c r="B129" s="54" t="n">
        <v>3</v>
      </c>
      <c r="C129" s="64" t="inlineStr">
        <is>
          <t>Learn: Visual literacy — enough to give useful feedback</t>
        </is>
      </c>
      <c r="D129" s="54" t="inlineStr">
        <is>
          <t>Learn</t>
        </is>
      </c>
      <c r="E129" s="54" t="n">
        <v>3</v>
      </c>
      <c r="F129" s="47">
        <f>IF(COUNTIF($J129:$J133,"Done")=5,"Done",IF(COUNTIF($J129:$J133,"Blocked")&gt;0,"Blocked",IF(COUNTIF($J129:$J133,"To do")=5,"Not started","In progress")))</f>
        <v/>
      </c>
      <c r="G129" s="47">
        <f>IF(SUM($M129:$M133)=0,"",SUM($M129:$M133))</f>
        <v/>
      </c>
      <c r="H129" s="17" t="n">
        <v>1</v>
      </c>
      <c r="I129" s="18" t="inlineStr">
        <is>
          <t>Read the Toptal piece and the whitespace article, and skim Laws of UX. You're building vocabulary, not craft.</t>
        </is>
      </c>
      <c r="J129" s="19" t="inlineStr">
        <is>
          <t>Done</t>
        </is>
      </c>
      <c r="K129" s="20" t="n">
        <v>46280</v>
      </c>
      <c r="L129" s="20" t="n">
        <v>46280</v>
      </c>
      <c r="M129" s="21" t="n">
        <v>0.3</v>
      </c>
      <c r="N129" s="53" t="inlineStr">
        <is>
          <t>You will not be designing screens. You will be looking at them constantly, and the difference between "I don't like it" and "the hierarchy doesn't match what the user came here to do" is the difference between feedback a designer can act on and feedback that wastes their afternoon.</t>
        </is>
      </c>
      <c r="O129" s="53" t="inlineStr">
        <is>
          <t>• NN/g: *Whitespace in Design* — https://www.nngroup.com/articles/whitespace/
• Toptal: *The Principles of Design and Their Importance* — https://www.toptal.com/designers/ui/principles-of-design
• Laws of UX — https://lawsofux.com/
• *Negative Space* — https://youtu.be/A0Ev_4zto4Y</t>
        </is>
      </c>
      <c r="P129" s="53" t="inlineStr">
        <is>
          <t>Notice what this task deliberately skips: you are not learning to pick typefaces, build colour systems or draw icons. That's your designer's craft. Your job is to know when something is off, say why in language they recognise, and then get out of their way.
---</t>
        </is>
      </c>
      <c r="Q129" s="53" t="inlineStr">
        <is>
          <t>—</t>
        </is>
      </c>
      <c r="R129" s="54" t="n"/>
      <c r="S129" s="53" t="inlineStr">
        <is>
          <t>Correct 'Whitespace' link: https://www.nngroup.com/videos/whitespace/</t>
        </is>
      </c>
    </row>
    <row r="130" ht="42.75" customHeight="1" s="71">
      <c r="A130" s="48" t="n"/>
      <c r="B130" s="48" t="n"/>
      <c r="C130" s="48" t="n"/>
      <c r="D130" s="48" t="n"/>
      <c r="E130" s="48" t="n"/>
      <c r="F130" s="48" t="n"/>
      <c r="G130" s="48" t="n"/>
      <c r="H130" s="22" t="n">
        <v>2</v>
      </c>
      <c r="I130" s="23" t="inlineStr">
        <is>
          <t>Write down the five things you'll check on any screen: hierarchy, spacing, alignment, contrast, and whether the primary action is obvious.</t>
        </is>
      </c>
      <c r="J130" s="24" t="inlineStr">
        <is>
          <t>Done</t>
        </is>
      </c>
      <c r="K130" s="25" t="n">
        <v>46280</v>
      </c>
      <c r="L130" s="25" t="n">
        <v>46280</v>
      </c>
      <c r="M130" s="26" t="n">
        <v>0.15</v>
      </c>
      <c r="N130" s="48" t="n"/>
      <c r="O130" s="48" t="n"/>
      <c r="P130" s="48" t="n"/>
      <c r="Q130" s="48" t="n"/>
      <c r="R130" s="48" t="n"/>
      <c r="S130" s="48" t="n"/>
    </row>
    <row r="131" ht="55.5" customHeight="1" s="71">
      <c r="A131" s="48" t="n"/>
      <c r="B131" s="48" t="n"/>
      <c r="C131" s="48" t="n"/>
      <c r="D131" s="48" t="n"/>
      <c r="E131" s="48" t="n"/>
      <c r="F131" s="48" t="n"/>
      <c r="G131" s="48" t="n"/>
      <c r="H131" s="22" t="n">
        <v>3</v>
      </c>
      <c r="I131" s="23" t="inlineStr">
        <is>
          <t>Ask Claude to describe a deliberately bad settings page: *"Describe a settings page for a project management tool that violates hierarchy, spacing, alignment and contrast. Be specific — I'm going to critique it."*</t>
        </is>
      </c>
      <c r="J131" s="24" t="inlineStr">
        <is>
          <t>Done</t>
        </is>
      </c>
      <c r="K131" s="25" t="n">
        <v>46280</v>
      </c>
      <c r="L131" s="25" t="n">
        <v>46280</v>
      </c>
      <c r="M131" s="26" t="n">
        <v>0.1</v>
      </c>
      <c r="N131" s="48" t="n"/>
      <c r="O131" s="48" t="n"/>
      <c r="P131" s="48" t="n"/>
      <c r="Q131" s="48" t="n"/>
      <c r="R131" s="48" t="n"/>
      <c r="S131" s="48" t="n"/>
    </row>
    <row r="132" ht="30" customHeight="1" s="71">
      <c r="A132" s="48" t="n"/>
      <c r="B132" s="48" t="n"/>
      <c r="C132" s="48" t="n"/>
      <c r="D132" s="48" t="n"/>
      <c r="E132" s="48" t="n"/>
      <c r="F132" s="48" t="n"/>
      <c r="G132" s="48" t="n"/>
      <c r="H132" s="22" t="n">
        <v>4</v>
      </c>
      <c r="I132" s="23" t="inlineStr">
        <is>
          <t>Write a numbered critique of it, naming the principle behind each problem.</t>
        </is>
      </c>
      <c r="J132" s="24" t="inlineStr">
        <is>
          <t>Done</t>
        </is>
      </c>
      <c r="K132" s="25" t="n">
        <v>46280</v>
      </c>
      <c r="L132" s="25" t="n">
        <v>46280</v>
      </c>
      <c r="M132" s="26" t="n">
        <v>0.4</v>
      </c>
      <c r="N132" s="48" t="n"/>
      <c r="O132" s="48" t="n"/>
      <c r="P132" s="48" t="n"/>
      <c r="Q132" s="48" t="n"/>
      <c r="R132" s="48" t="n"/>
      <c r="S132" s="48" t="n"/>
    </row>
    <row r="133" ht="55.5" customHeight="1" s="71">
      <c r="A133" s="49" t="n"/>
      <c r="B133" s="49" t="n"/>
      <c r="C133" s="49" t="n"/>
      <c r="D133" s="49" t="n"/>
      <c r="E133" s="49" t="n"/>
      <c r="F133" s="49" t="n"/>
      <c r="G133" s="49" t="n"/>
      <c r="H133" s="27" t="n">
        <v>5</v>
      </c>
      <c r="I133" s="28" t="inlineStr">
        <is>
          <t>Now do the same for a real screen from a product you use, and check your critique with Claude: *"Where am I stating personal preference as if it were an established principle?"*</t>
        </is>
      </c>
      <c r="J133" s="29" t="inlineStr">
        <is>
          <t>Done</t>
        </is>
      </c>
      <c r="K133" s="31" t="n">
        <v>46280</v>
      </c>
      <c r="L133" s="31" t="n">
        <v>46280</v>
      </c>
      <c r="M133" s="30" t="n">
        <v>0.4</v>
      </c>
      <c r="N133" s="49" t="n"/>
      <c r="O133" s="49" t="n"/>
      <c r="P133" s="49" t="n"/>
      <c r="Q133" s="49" t="n"/>
      <c r="R133" s="49" t="n"/>
      <c r="S133" s="49" t="n"/>
    </row>
    <row r="134" ht="30" customHeight="1" s="71">
      <c r="A134" s="60" t="inlineStr">
        <is>
          <t>3.2</t>
        </is>
      </c>
      <c r="B134" s="51" t="n">
        <v>3</v>
      </c>
      <c r="C134" s="50" t="inlineStr">
        <is>
          <t>Practise: The daily critique ritual</t>
        </is>
      </c>
      <c r="D134" s="51" t="inlineStr">
        <is>
          <t>Practise</t>
        </is>
      </c>
      <c r="E134" s="51" t="n">
        <v>3</v>
      </c>
      <c r="F134" s="55">
        <f>IF(COUNTIF($J134:$J138,"Done")=5,"Done",IF(COUNTIF($J134:$J138,"Blocked")&gt;0,"Blocked",IF(COUNTIF($J134:$J138,"To do")=5,"Not started","In progress")))</f>
        <v/>
      </c>
      <c r="G134" s="55">
        <f>IF(SUM($M134:$M138)=0,"",SUM($M134:$M138))</f>
        <v/>
      </c>
      <c r="H134" s="17" t="n">
        <v>1</v>
      </c>
      <c r="I134" s="18" t="inlineStr">
        <is>
          <t>Read the ten heuristics and skim Laws of UX — these give you a second vocabulary alongside the visual fundamentals.</t>
        </is>
      </c>
      <c r="J134" s="19" t="inlineStr">
        <is>
          <t>Done</t>
        </is>
      </c>
      <c r="K134" s="20" t="n">
        <v>46281</v>
      </c>
      <c r="L134" s="20" t="n">
        <v>46281</v>
      </c>
      <c r="M134" s="21" t="n">
        <v>0.3</v>
      </c>
      <c r="N134" s="52" t="inlineStr">
        <is>
          <t>The core exercise of this module. Ten interfaces, critiqued out loud, with Claude pushing back.</t>
        </is>
      </c>
      <c r="O134" s="52" t="inlineStr">
        <is>
          <t>• Your five checks from Task 3.1
• NN/g: *10 Usability Heuristics* — https://www.nngroup.com/articles/ten-usability-heuristics/
• Laws of UX — https://lawsofux.com/</t>
        </is>
      </c>
      <c r="P134" s="52" t="inlineStr">
        <is>
          <t>Step 5 is the real lesson. "I don't like this colour" is taste. "This colour fails contrast for body text" is principle. Both are allowed — you just have to know which one you're saying.
---
---</t>
        </is>
      </c>
      <c r="Q134" s="52" t="inlineStr">
        <is>
          <t>3.1</t>
        </is>
      </c>
      <c r="R134" s="51" t="n"/>
      <c r="S134" s="52" t="n"/>
    </row>
    <row r="135" ht="30" customHeight="1" s="71">
      <c r="A135" s="48" t="n"/>
      <c r="B135" s="48" t="n"/>
      <c r="C135" s="48" t="n"/>
      <c r="D135" s="48" t="n"/>
      <c r="E135" s="48" t="n"/>
      <c r="F135" s="48" t="n"/>
      <c r="G135" s="48" t="n"/>
      <c r="H135" s="22" t="n">
        <v>2</v>
      </c>
      <c r="I135" s="23" t="inlineStr">
        <is>
          <t>Pick ten screens from apps you use — five you like, five you don't.</t>
        </is>
      </c>
      <c r="J135" s="24" t="inlineStr">
        <is>
          <t>Done</t>
        </is>
      </c>
      <c r="K135" s="25" t="n">
        <v>46282</v>
      </c>
      <c r="L135" s="25" t="n">
        <v>46282</v>
      </c>
      <c r="M135" s="26" t="n">
        <v>0.2</v>
      </c>
      <c r="N135" s="48" t="n"/>
      <c r="O135" s="48" t="n"/>
      <c r="P135" s="48" t="n"/>
      <c r="Q135" s="48" t="n"/>
      <c r="R135" s="48" t="n"/>
      <c r="S135" s="48" t="n"/>
    </row>
    <row r="136" ht="55.5" customHeight="1" s="71">
      <c r="A136" s="48" t="n"/>
      <c r="B136" s="48" t="n"/>
      <c r="C136" s="48" t="n"/>
      <c r="D136" s="48" t="n"/>
      <c r="E136" s="48" t="n"/>
      <c r="F136" s="48" t="n"/>
      <c r="G136" s="48" t="n"/>
      <c r="H136" s="22" t="n">
        <v>3</v>
      </c>
      <c r="I136" s="23" t="inlineStr">
        <is>
          <t>For each, write a structured critique: what's the user's goal, does the hierarchy support it, what's the type doing, what's the colour doing, what's the spacing doing, which heuristics are violated.</t>
        </is>
      </c>
      <c r="J136" s="24" t="inlineStr">
        <is>
          <t>Done</t>
        </is>
      </c>
      <c r="K136" s="25" t="n">
        <v>46282</v>
      </c>
      <c r="L136" s="25" t="n">
        <v>46282</v>
      </c>
      <c r="M136" s="26" t="n">
        <v>1.5</v>
      </c>
      <c r="N136" s="48" t="n"/>
      <c r="O136" s="48" t="n"/>
      <c r="P136" s="48" t="n"/>
      <c r="Q136" s="48" t="n"/>
      <c r="R136" s="48" t="n"/>
      <c r="S136" s="48" t="n"/>
    </row>
    <row r="137" ht="42.75" customHeight="1" s="71">
      <c r="A137" s="48" t="n"/>
      <c r="B137" s="48" t="n"/>
      <c r="C137" s="48" t="n"/>
      <c r="D137" s="48" t="n"/>
      <c r="E137" s="48" t="n"/>
      <c r="F137" s="48" t="n"/>
      <c r="G137" s="48" t="n"/>
      <c r="H137" s="22" t="n">
        <v>4</v>
      </c>
      <c r="I137" s="23" t="inlineStr">
        <is>
          <t>Paste each critique to Claude with: *"Here's my critique of a screen. What did I miss, and where am I stating preference as if it were principle?"*</t>
        </is>
      </c>
      <c r="J137" s="24" t="inlineStr">
        <is>
          <t>Done</t>
        </is>
      </c>
      <c r="K137" s="25" t="n">
        <v>46282</v>
      </c>
      <c r="L137" s="25" t="n">
        <v>46282</v>
      </c>
      <c r="M137" s="26" t="n">
        <v>0.2</v>
      </c>
      <c r="N137" s="48" t="n"/>
      <c r="O137" s="48" t="n"/>
      <c r="P137" s="48" t="n"/>
      <c r="Q137" s="48" t="n"/>
      <c r="R137" s="48" t="n"/>
      <c r="S137" s="48" t="n"/>
    </row>
    <row r="138" ht="30" customHeight="1" s="71">
      <c r="A138" s="49" t="n"/>
      <c r="B138" s="49" t="n"/>
      <c r="C138" s="49" t="n"/>
      <c r="D138" s="49" t="n"/>
      <c r="E138" s="49" t="n"/>
      <c r="F138" s="49" t="n"/>
      <c r="G138" s="49" t="n"/>
      <c r="H138" s="27" t="n">
        <v>5</v>
      </c>
      <c r="I138" s="28" t="inlineStr">
        <is>
          <t>Track across all ten how often you confused taste with principle. Note the pattern.</t>
        </is>
      </c>
      <c r="J138" s="29" t="inlineStr">
        <is>
          <t>Done</t>
        </is>
      </c>
      <c r="K138" s="31" t="n">
        <v>46282</v>
      </c>
      <c r="L138" s="31" t="n">
        <v>46282</v>
      </c>
      <c r="M138" s="30" t="n">
        <v>0.6</v>
      </c>
      <c r="N138" s="49" t="n"/>
      <c r="O138" s="49" t="n"/>
      <c r="P138" s="49" t="n"/>
      <c r="Q138" s="49" t="n"/>
      <c r="R138" s="49" t="n"/>
      <c r="S138" s="49" t="n"/>
    </row>
    <row r="139" ht="42.75" customHeight="1" s="71">
      <c r="A139" s="65" t="inlineStr">
        <is>
          <t>3.3</t>
        </is>
      </c>
      <c r="B139" s="54" t="n">
        <v>3</v>
      </c>
      <c r="C139" s="64" t="inlineStr">
        <is>
          <t>Learn: What a design system buys you</t>
        </is>
      </c>
      <c r="D139" s="54" t="inlineStr">
        <is>
          <t>Learn</t>
        </is>
      </c>
      <c r="E139" s="54" t="n">
        <v>2</v>
      </c>
      <c r="F139" s="47">
        <f>IF(COUNTIF($J139:$J143,"Done")=5,"Done",IF(COUNTIF($J139:$J143,"Blocked")&gt;0,"Blocked",IF(COUNTIF($J139:$J143,"To do")=5,"Not started","In progress")))</f>
        <v/>
      </c>
      <c r="G139" s="47">
        <f>IF(SUM($M139:$M143)=0,"",SUM($M139:$M143))</f>
        <v/>
      </c>
      <c r="H139" s="17" t="n">
        <v>1</v>
      </c>
      <c r="I139" s="18" t="inlineStr">
        <is>
          <t>Spend forty minutes navigating Material 3 — foundations, styles, components. You're getting oriented, not memorising.</t>
        </is>
      </c>
      <c r="J139" s="19" t="inlineStr">
        <is>
          <t>Done</t>
        </is>
      </c>
      <c r="K139" s="20" t="n">
        <v>46282</v>
      </c>
      <c r="L139" s="20" t="n">
        <v>46282</v>
      </c>
      <c r="M139" s="21" t="n">
        <v>0.67</v>
      </c>
      <c r="N139" s="53" t="inlineStr">
        <is>
          <t>Every serious product is built on a design system. You won't author one — but you will be asked whether a request is cheap, why the designer says something is off-pattern, and what consistency is actually worth. This is enough to hold that conversation.</t>
        </is>
      </c>
      <c r="O139" s="53" t="inlineStr">
        <is>
          <t>• Material Design 3 — https://m3.material.io/
• Material Design (Android guidance) — https://m3.material.io/foundations
• Apple Human Interface Guidelines — https://developer.apple.com/design/human-interface-guidelines/</t>
        </is>
      </c>
      <c r="P139" s="53" t="inlineStr">
        <is>
          <t>We build mostly enterprise web, so neither system will be your daily reference. Knowing they exist and what they cover still matters — clients cite them, and "can we just make this button bigger" is rarely as small as it sounds.
---
---</t>
        </is>
      </c>
      <c r="Q139" s="53" t="inlineStr">
        <is>
          <t>—</t>
        </is>
      </c>
      <c r="R139" s="54" t="n"/>
      <c r="S139" s="53" t="n"/>
    </row>
    <row r="140" ht="30" customHeight="1" s="71">
      <c r="A140" s="48" t="n"/>
      <c r="B140" s="48" t="n"/>
      <c r="C140" s="48" t="n"/>
      <c r="D140" s="48" t="n"/>
      <c r="E140" s="48" t="n"/>
      <c r="F140" s="48" t="n"/>
      <c r="G140" s="48" t="n"/>
      <c r="H140" s="22" t="n">
        <v>2</v>
      </c>
      <c r="I140" s="23" t="inlineStr">
        <is>
          <t>Skim the Apple HIG foundations to see how a second system makes different choices for different reasons.</t>
        </is>
      </c>
      <c r="J140" s="24" t="inlineStr">
        <is>
          <t>Done</t>
        </is>
      </c>
      <c r="K140" s="25" t="n">
        <v>46282</v>
      </c>
      <c r="L140" s="25" t="n">
        <v>46282</v>
      </c>
      <c r="M140" s="26" t="n">
        <v>0.3</v>
      </c>
      <c r="N140" s="48" t="n"/>
      <c r="O140" s="48" t="n"/>
      <c r="P140" s="48" t="n"/>
      <c r="Q140" s="48" t="n"/>
      <c r="R140" s="48" t="n"/>
      <c r="S140" s="48" t="n"/>
    </row>
    <row r="141" ht="42.75" customHeight="1" s="71">
      <c r="A141" s="48" t="n"/>
      <c r="B141" s="48" t="n"/>
      <c r="C141" s="48" t="n"/>
      <c r="D141" s="48" t="n"/>
      <c r="E141" s="48" t="n"/>
      <c r="F141" s="48" t="n"/>
      <c r="G141" s="48" t="n"/>
      <c r="H141" s="22" t="n">
        <v>3</v>
      </c>
      <c r="I141" s="23" t="inlineStr">
        <is>
          <t>Pick one component — the button — and note how many variants and states each system specifies. That count is the answer to "why does this take longer than you'd think".</t>
        </is>
      </c>
      <c r="J141" s="24" t="inlineStr">
        <is>
          <t>Done</t>
        </is>
      </c>
      <c r="K141" s="25" t="n">
        <v>46282</v>
      </c>
      <c r="L141" s="25" t="n">
        <v>46282</v>
      </c>
      <c r="M141" s="26" t="n">
        <v>0.3</v>
      </c>
      <c r="N141" s="48" t="n"/>
      <c r="O141" s="48" t="n"/>
      <c r="P141" s="48" t="n"/>
      <c r="Q141" s="48" t="n"/>
      <c r="R141" s="48" t="n"/>
      <c r="S141" s="48" t="n"/>
    </row>
    <row r="142" ht="30" customHeight="1" s="71">
      <c r="A142" s="48" t="n"/>
      <c r="B142" s="48" t="n"/>
      <c r="C142" s="48" t="n"/>
      <c r="D142" s="48" t="n"/>
      <c r="E142" s="48" t="n"/>
      <c r="F142" s="48" t="n"/>
      <c r="G142" s="48" t="n"/>
      <c r="H142" s="22" t="n">
        <v>4</v>
      </c>
      <c r="I142" s="23" t="inlineStr">
        <is>
          <t>Write three sentences on what a design system buys a delivery team, and what it costs to depart from one.</t>
        </is>
      </c>
      <c r="J142" s="24" t="inlineStr">
        <is>
          <t>Done</t>
        </is>
      </c>
      <c r="K142" s="25" t="n">
        <v>46282</v>
      </c>
      <c r="L142" s="25" t="n">
        <v>46282</v>
      </c>
      <c r="M142" s="26" t="n">
        <v>0.5</v>
      </c>
      <c r="N142" s="48" t="n"/>
      <c r="O142" s="48" t="n"/>
      <c r="P142" s="48" t="n"/>
      <c r="Q142" s="48" t="n"/>
      <c r="R142" s="48" t="n"/>
      <c r="S142" s="48" t="n"/>
    </row>
    <row r="143" ht="55.5" customHeight="1" s="71">
      <c r="A143" s="49" t="n"/>
      <c r="B143" s="49" t="n"/>
      <c r="C143" s="49" t="n"/>
      <c r="D143" s="49" t="n"/>
      <c r="E143" s="49" t="n"/>
      <c r="F143" s="49" t="n"/>
      <c r="G143" s="49" t="n"/>
      <c r="H143" s="27" t="n">
        <v>5</v>
      </c>
      <c r="I143" s="28" t="inlineStr">
        <is>
          <t>Ask Claude: *"I'm a product manager. When a designer tells me a request is off-pattern for our design system, what are they actually protecting, and when is it reasonable to push back?"*</t>
        </is>
      </c>
      <c r="J143" s="29" t="inlineStr">
        <is>
          <t>Done</t>
        </is>
      </c>
      <c r="K143" s="31" t="n">
        <v>46282</v>
      </c>
      <c r="L143" s="31" t="n">
        <v>46282</v>
      </c>
      <c r="M143" s="30" t="n">
        <v>0.15</v>
      </c>
      <c r="N143" s="49" t="n"/>
      <c r="O143" s="49" t="n"/>
      <c r="P143" s="49" t="n"/>
      <c r="Q143" s="49" t="n"/>
      <c r="R143" s="49" t="n"/>
      <c r="S143" s="49" t="n"/>
    </row>
    <row r="144" ht="25.5" customHeight="1" s="71">
      <c r="A144" s="61" t="inlineStr">
        <is>
          <t xml:space="preserve">  Module 4 · From Idea to Screen — 31 hrs · 10 tasks</t>
        </is>
      </c>
      <c r="B144" s="62" t="n"/>
      <c r="C144" s="62" t="n"/>
      <c r="D144" s="62" t="n"/>
      <c r="E144" s="62" t="n"/>
      <c r="F144" s="62" t="n"/>
      <c r="G144" s="62" t="n"/>
      <c r="H144" s="62" t="n"/>
      <c r="I144" s="62" t="n"/>
      <c r="J144" s="62" t="n"/>
      <c r="K144" s="62" t="n"/>
      <c r="L144" s="62" t="n"/>
      <c r="M144" s="62" t="n"/>
      <c r="N144" s="62" t="n"/>
      <c r="O144" s="62" t="n"/>
      <c r="P144" s="62" t="n"/>
      <c r="Q144" s="62" t="n"/>
      <c r="R144" s="62" t="n"/>
      <c r="S144" s="63" t="n"/>
    </row>
    <row r="145" ht="18" customHeight="1" s="71">
      <c r="A145" s="59" t="inlineStr">
        <is>
          <t>Goal</t>
        </is>
      </c>
      <c r="B145" s="58" t="n"/>
      <c r="C145" s="56" t="inlineStr">
        <is>
          <t>I can turn a flow into a specification precise enough to build from, and a prototype rough enough to test.</t>
        </is>
      </c>
      <c r="D145" s="57" t="n"/>
      <c r="E145" s="57" t="n"/>
      <c r="F145" s="57" t="n"/>
      <c r="G145" s="57" t="n"/>
      <c r="H145" s="57" t="n"/>
      <c r="I145" s="57" t="n"/>
      <c r="J145" s="57" t="n"/>
      <c r="K145" s="57" t="n"/>
      <c r="L145" s="57" t="n"/>
      <c r="M145" s="57" t="n"/>
      <c r="N145" s="57" t="n"/>
      <c r="O145" s="57" t="n"/>
      <c r="P145" s="57" t="n"/>
      <c r="Q145" s="57" t="n"/>
      <c r="R145" s="57" t="n"/>
      <c r="S145" s="58" t="n"/>
    </row>
    <row r="146" ht="18" customHeight="1" s="71">
      <c r="A146" s="59" t="inlineStr">
        <is>
          <t>About</t>
        </is>
      </c>
      <c r="B146" s="58" t="n"/>
      <c r="C146" s="56" t="inlineStr">
        <is>
          <t>The biggest module after Delivery, and the one where your requirements stop being words and start being something people can click. You'll learn to structure information, read enough front-end code to hold your own with engineers, and — in the final task — to describe a screen precisely enough that the first build comes back close to what you meant.
---</t>
        </is>
      </c>
      <c r="D146" s="57" t="n"/>
      <c r="E146" s="57" t="n"/>
      <c r="F146" s="57" t="n"/>
      <c r="G146" s="57" t="n"/>
      <c r="H146" s="57" t="n"/>
      <c r="I146" s="57" t="n"/>
      <c r="J146" s="57" t="n"/>
      <c r="K146" s="57" t="n"/>
      <c r="L146" s="57" t="n"/>
      <c r="M146" s="57" t="n"/>
      <c r="N146" s="57" t="n"/>
      <c r="O146" s="57" t="n"/>
      <c r="P146" s="57" t="n"/>
      <c r="Q146" s="57" t="n"/>
      <c r="R146" s="57" t="n"/>
      <c r="S146" s="58" t="n"/>
    </row>
    <row r="147" ht="18" customHeight="1" s="71">
      <c r="A147" s="59" t="inlineStr">
        <is>
          <t>Checkpoint</t>
        </is>
      </c>
      <c r="B147" s="58" t="n"/>
      <c r="C147" s="56" t="inlineStr">
        <is>
          <t>Bring: your sitemap and user flow, paper sketches, your notes on which requests are expensive, your first Claude Design prototype with its iteration log, six state designs with real copy, the Harvest Hub screen, your accessibility audit, and your three side-by-side screens from the specification exercise.
---</t>
        </is>
      </c>
      <c r="D147" s="57" t="n"/>
      <c r="E147" s="57" t="n"/>
      <c r="F147" s="57" t="n"/>
      <c r="G147" s="57" t="n"/>
      <c r="H147" s="57" t="n"/>
      <c r="I147" s="57" t="n"/>
      <c r="J147" s="57" t="n"/>
      <c r="K147" s="57" t="n"/>
      <c r="L147" s="57" t="n"/>
      <c r="M147" s="57" t="n"/>
      <c r="N147" s="57" t="n"/>
      <c r="O147" s="57" t="n"/>
      <c r="P147" s="57" t="n"/>
      <c r="Q147" s="57" t="n"/>
      <c r="R147" s="57" t="n"/>
      <c r="S147" s="58" t="n"/>
    </row>
    <row r="148" ht="19.5" customHeight="1" s="71">
      <c r="A148" s="60" t="inlineStr">
        <is>
          <t>4.1</t>
        </is>
      </c>
      <c r="B148" s="51" t="n">
        <v>4</v>
      </c>
      <c r="C148" s="50" t="inlineStr">
        <is>
          <t>Learn: Wireframing fundamentals</t>
        </is>
      </c>
      <c r="D148" s="51" t="inlineStr">
        <is>
          <t>Learn</t>
        </is>
      </c>
      <c r="E148" s="51" t="n">
        <v>3</v>
      </c>
      <c r="F148" s="55">
        <f>IF(COUNTIF($J148:$J152,"Done")=5,"Done",IF(COUNTIF($J148:$J152,"Blocked")&gt;0,"Blocked",IF(COUNTIF($J148:$J152,"To do")=5,"Not started","In progress")))</f>
        <v/>
      </c>
      <c r="G148" s="55">
        <f>IF(SUM($M148:$M152)=0,"",SUM($M148:$M152))</f>
        <v/>
      </c>
      <c r="H148" s="17" t="n">
        <v>1</v>
      </c>
      <c r="I148" s="18" t="inlineStr">
        <is>
          <t>Read both.</t>
        </is>
      </c>
      <c r="J148" s="19" t="inlineStr">
        <is>
          <t>Done</t>
        </is>
      </c>
      <c r="K148" s="20" t="n">
        <v>46283</v>
      </c>
      <c r="L148" s="20" t="n">
        <v>46283</v>
      </c>
      <c r="M148" s="21" t="n">
        <v>0.25</v>
      </c>
      <c r="N148" s="52" t="inlineStr">
        <is>
          <t>A wireframe strips away visual decision-making so you can argue about structure. Learn what belongs in one and what doesn't.</t>
        </is>
      </c>
      <c r="O148" s="52" t="inlineStr">
        <is>
          <t>• IxDF: *What is Wireframing — The Complete Guide* — https://www.interaction-design.org/literature/topics/wireframing
• NN/g: *Wireframing* — https://www.nngroup.com/articles/wireframe/</t>
        </is>
      </c>
      <c r="P148" s="52" t="inlineStr">
        <is>
          <t>The discipline is holding back on detail. Wireframe styling doesn't carry through to the final design, so that time is better spent on structure — which does.
---
---</t>
        </is>
      </c>
      <c r="Q148" s="52" t="inlineStr">
        <is>
          <t>—</t>
        </is>
      </c>
      <c r="R148" s="51" t="n"/>
      <c r="S148" s="52" t="inlineStr">
        <is>
          <t>Correct NN/g link: https://www.nngroup.com/articles/draw-wireframe-even-if-you-cant-draw/</t>
        </is>
      </c>
    </row>
    <row r="149" ht="42.75" customHeight="1" s="71">
      <c r="A149" s="48" t="n"/>
      <c r="B149" s="48" t="n"/>
      <c r="C149" s="48" t="n"/>
      <c r="D149" s="48" t="n"/>
      <c r="E149" s="48" t="n"/>
      <c r="F149" s="48" t="n"/>
      <c r="G149" s="48" t="n"/>
      <c r="H149" s="22" t="n">
        <v>2</v>
      </c>
      <c r="I149" s="23" t="inlineStr">
        <is>
          <t>Write down what a wireframe should contain (structure, hierarchy, content priority, key interactions) and what it must not (final colour, real imagery, polished type).</t>
        </is>
      </c>
      <c r="J149" s="24" t="inlineStr">
        <is>
          <t>Done</t>
        </is>
      </c>
      <c r="K149" s="25" t="n">
        <v>46283</v>
      </c>
      <c r="L149" s="25" t="n">
        <v>46283</v>
      </c>
      <c r="M149" s="26" t="n">
        <v>0.4</v>
      </c>
      <c r="N149" s="48" t="n"/>
      <c r="O149" s="48" t="n"/>
      <c r="P149" s="48" t="n"/>
      <c r="Q149" s="48" t="n"/>
      <c r="R149" s="48" t="n"/>
      <c r="S149" s="48" t="n"/>
    </row>
    <row r="150" ht="42.75" customHeight="1" s="71">
      <c r="A150" s="48" t="n"/>
      <c r="B150" s="48" t="n"/>
      <c r="C150" s="48" t="n"/>
      <c r="D150" s="48" t="n"/>
      <c r="E150" s="48" t="n"/>
      <c r="F150" s="48" t="n"/>
      <c r="G150" s="48" t="n"/>
      <c r="H150" s="22" t="n">
        <v>3</v>
      </c>
      <c r="I150" s="23" t="inlineStr">
        <is>
          <t>Take three screens from your reference library and wireframe them backwards — reduce each finished screen to its wireframe.</t>
        </is>
      </c>
      <c r="J150" s="24" t="inlineStr">
        <is>
          <t>Done</t>
        </is>
      </c>
      <c r="K150" s="25" t="n">
        <v>46283</v>
      </c>
      <c r="L150" s="25" t="n">
        <v>46283</v>
      </c>
      <c r="M150" s="26" t="n">
        <v>0.5</v>
      </c>
      <c r="N150" s="48" t="n"/>
      <c r="O150" s="48" t="n"/>
      <c r="P150" s="48" t="n"/>
      <c r="Q150" s="48" t="n"/>
      <c r="R150" s="48" t="n"/>
      <c r="S150" s="48" t="n"/>
    </row>
    <row r="151" ht="42.75" customHeight="1" s="71">
      <c r="A151" s="48" t="n"/>
      <c r="B151" s="48" t="n"/>
      <c r="C151" s="48" t="n"/>
      <c r="D151" s="48" t="n"/>
      <c r="E151" s="48" t="n"/>
      <c r="F151" s="48" t="n"/>
      <c r="G151" s="48" t="n"/>
      <c r="H151" s="22" t="n">
        <v>4</v>
      </c>
      <c r="I151" s="23" t="inlineStr">
        <is>
          <t>Have Claude critique: *"Here's my description of a wireframe reduced from a finished screen. Did I keep anything that's a visual decision rather than a structural one?"*</t>
        </is>
      </c>
      <c r="J151" s="24" t="inlineStr">
        <is>
          <t>Done</t>
        </is>
      </c>
      <c r="K151" s="25" t="n">
        <v>46283</v>
      </c>
      <c r="L151" s="25" t="n">
        <v>46283</v>
      </c>
      <c r="M151" s="26" t="n">
        <v>0.15</v>
      </c>
      <c r="N151" s="48" t="n"/>
      <c r="O151" s="48" t="n"/>
      <c r="P151" s="48" t="n"/>
      <c r="Q151" s="48" t="n"/>
      <c r="R151" s="48" t="n"/>
      <c r="S151" s="48" t="n"/>
    </row>
    <row r="152" ht="30" customHeight="1" s="71">
      <c r="A152" s="49" t="n"/>
      <c r="B152" s="49" t="n"/>
      <c r="C152" s="49" t="n"/>
      <c r="D152" s="49" t="n"/>
      <c r="E152" s="49" t="n"/>
      <c r="F152" s="49" t="n"/>
      <c r="G152" s="49" t="n"/>
      <c r="H152" s="27" t="n">
        <v>5</v>
      </c>
      <c r="I152" s="28" t="inlineStr">
        <is>
          <t>Add your three reduced wireframes to your board, next to the finished screens they came from.</t>
        </is>
      </c>
      <c r="J152" s="29" t="inlineStr">
        <is>
          <t>Done</t>
        </is>
      </c>
      <c r="K152" s="31" t="n">
        <v>46283</v>
      </c>
      <c r="L152" s="31" t="n">
        <v>46283</v>
      </c>
      <c r="M152" s="30" t="n">
        <v>0.1</v>
      </c>
      <c r="N152" s="49" t="n"/>
      <c r="O152" s="49" t="n"/>
      <c r="P152" s="49" t="n"/>
      <c r="Q152" s="49" t="n"/>
      <c r="R152" s="49" t="n"/>
      <c r="S152" s="49" t="n"/>
    </row>
    <row r="153" ht="30" customHeight="1" s="71">
      <c r="A153" s="65" t="inlineStr">
        <is>
          <t>4.2</t>
        </is>
      </c>
      <c r="B153" s="54" t="n">
        <v>4</v>
      </c>
      <c r="C153" s="64" t="inlineStr">
        <is>
          <t>Practise: Sketching by hand</t>
        </is>
      </c>
      <c r="D153" s="54" t="inlineStr">
        <is>
          <t>Practise</t>
        </is>
      </c>
      <c r="E153" s="54" t="n">
        <v>2</v>
      </c>
      <c r="F153" s="47">
        <f>IF(COUNTIF($J153:$J157,"Done")=5,"Done",IF(COUNTIF($J153:$J157,"Blocked")&gt;0,"Blocked",IF(COUNTIF($J153:$J157,"To do")=5,"Not started","In progress")))</f>
        <v/>
      </c>
      <c r="G153" s="47">
        <f>IF(SUM($M153:$M157)=0,"",SUM($M153:$M157))</f>
        <v/>
      </c>
      <c r="H153" s="17" t="n">
        <v>1</v>
      </c>
      <c r="I153" s="18" t="inlineStr">
        <is>
          <t>Read the paper prototyping article and print a few browser-frame templates.</t>
        </is>
      </c>
      <c r="J153" s="19" t="inlineStr">
        <is>
          <t>Done</t>
        </is>
      </c>
      <c r="K153" s="20" t="n">
        <v>46283</v>
      </c>
      <c r="L153" s="20" t="n">
        <v>46283</v>
      </c>
      <c r="M153" s="21" t="n">
        <v>0.2</v>
      </c>
      <c r="N153" s="53" t="inlineStr">
        <is>
          <t>Paper is still the fastest tool for exploring layout. It's also the one that keeps you from polishing prematurely.</t>
        </is>
      </c>
      <c r="O153" s="53" t="inlineStr">
        <is>
          <t>• Sketching UI on paper — https://www.nngroup.com/articles/paper-prototyping/
• Printable wireframe templates — https://sneakpeekit.com/</t>
        </is>
      </c>
      <c r="P153" s="53" t="inlineStr">
        <is>
          <t>Rough sketches are exactly what you want here, and that's slightly the point — a loose sketch is easy to set aside and try again, which is what keeps you exploring.
---
---</t>
        </is>
      </c>
      <c r="Q153" s="53" t="inlineStr">
        <is>
          <t>—</t>
        </is>
      </c>
      <c r="R153" s="54" t="n"/>
      <c r="S153" s="53" t="n"/>
    </row>
    <row r="154" ht="42.75" customHeight="1" s="71">
      <c r="A154" s="48" t="n"/>
      <c r="B154" s="48" t="n"/>
      <c r="C154" s="48" t="n"/>
      <c r="D154" s="48" t="n"/>
      <c r="E154" s="48" t="n"/>
      <c r="F154" s="48" t="n"/>
      <c r="G154" s="48" t="n"/>
      <c r="H154" s="22" t="n">
        <v>2</v>
      </c>
      <c r="I154" s="23" t="inlineStr">
        <is>
          <t>Set a timer for eight minutes and sketch eight different layouts for one screen: a claims list with filters and a detail panel.</t>
        </is>
      </c>
      <c r="J154" s="24" t="inlineStr">
        <is>
          <t>Done</t>
        </is>
      </c>
      <c r="K154" s="25" t="n">
        <v>46285</v>
      </c>
      <c r="L154" s="25" t="n">
        <v>46285</v>
      </c>
      <c r="M154" s="26" t="n">
        <v>0.2</v>
      </c>
      <c r="N154" s="48" t="n"/>
      <c r="O154" s="48" t="n"/>
      <c r="P154" s="48" t="n"/>
      <c r="Q154" s="48" t="n"/>
      <c r="R154" s="48" t="n"/>
      <c r="S154" s="48" t="n"/>
    </row>
    <row r="155" ht="19.5" customHeight="1" s="71">
      <c r="A155" s="48" t="n"/>
      <c r="B155" s="48" t="n"/>
      <c r="C155" s="48" t="n"/>
      <c r="D155" s="48" t="n"/>
      <c r="E155" s="48" t="n"/>
      <c r="F155" s="48" t="n"/>
      <c r="G155" s="48" t="n"/>
      <c r="H155" s="22" t="n">
        <v>3</v>
      </c>
      <c r="I155" s="23" t="inlineStr">
        <is>
          <t>Do it again for a different screen — a settings page.</t>
        </is>
      </c>
      <c r="J155" s="24" t="inlineStr">
        <is>
          <t>Done</t>
        </is>
      </c>
      <c r="K155" s="25" t="n">
        <v>46285</v>
      </c>
      <c r="L155" s="25" t="n">
        <v>46285</v>
      </c>
      <c r="M155" s="26" t="n">
        <v>0.2</v>
      </c>
      <c r="N155" s="48" t="n"/>
      <c r="O155" s="48" t="n"/>
      <c r="P155" s="48" t="n"/>
      <c r="Q155" s="48" t="n"/>
      <c r="R155" s="48" t="n"/>
      <c r="S155" s="48" t="n"/>
    </row>
    <row r="156" ht="30" customHeight="1" s="71">
      <c r="A156" s="48" t="n"/>
      <c r="B156" s="48" t="n"/>
      <c r="C156" s="48" t="n"/>
      <c r="D156" s="48" t="n"/>
      <c r="E156" s="48" t="n"/>
      <c r="F156" s="48" t="n"/>
      <c r="G156" s="48" t="n"/>
      <c r="H156" s="22" t="n">
        <v>4</v>
      </c>
      <c r="I156" s="23" t="inlineStr">
        <is>
          <t>Pick your best from each set and redraw it larger with annotations.</t>
        </is>
      </c>
      <c r="J156" s="24" t="inlineStr">
        <is>
          <t>Done</t>
        </is>
      </c>
      <c r="K156" s="25" t="n">
        <v>46285</v>
      </c>
      <c r="L156" s="25" t="n">
        <v>46285</v>
      </c>
      <c r="M156" s="26" t="n">
        <v>0.6</v>
      </c>
      <c r="N156" s="48" t="n"/>
      <c r="O156" s="48" t="n"/>
      <c r="P156" s="48" t="n"/>
      <c r="Q156" s="48" t="n"/>
      <c r="R156" s="48" t="n"/>
      <c r="S156" s="48" t="n"/>
    </row>
    <row r="157" ht="19.5" customHeight="1" s="71">
      <c r="A157" s="49" t="n"/>
      <c r="B157" s="49" t="n"/>
      <c r="C157" s="49" t="n"/>
      <c r="D157" s="49" t="n"/>
      <c r="E157" s="49" t="n"/>
      <c r="F157" s="49" t="n"/>
      <c r="G157" s="49" t="n"/>
      <c r="H157" s="27" t="n">
        <v>5</v>
      </c>
      <c r="I157" s="28" t="inlineStr">
        <is>
          <t>Photograph everything into your `02-Module-Work` folder.</t>
        </is>
      </c>
      <c r="J157" s="29" t="inlineStr">
        <is>
          <t>Done</t>
        </is>
      </c>
      <c r="K157" s="31" t="n">
        <v>46285</v>
      </c>
      <c r="L157" s="31" t="n">
        <v>46285</v>
      </c>
      <c r="M157" s="30" t="n">
        <v>0.1</v>
      </c>
      <c r="N157" s="49" t="n"/>
      <c r="O157" s="49" t="n"/>
      <c r="P157" s="49" t="n"/>
      <c r="Q157" s="49" t="n"/>
      <c r="R157" s="49" t="n"/>
      <c r="S157" s="49" t="n"/>
    </row>
    <row r="158" ht="19.5" customHeight="1" s="71">
      <c r="A158" s="60" t="inlineStr">
        <is>
          <t>4.3</t>
        </is>
      </c>
      <c r="B158" s="51" t="n">
        <v>4</v>
      </c>
      <c r="C158" s="50" t="inlineStr">
        <is>
          <t>Learn: Information architecture and user flows</t>
        </is>
      </c>
      <c r="D158" s="51" t="inlineStr">
        <is>
          <t>Learn</t>
        </is>
      </c>
      <c r="E158" s="51" t="n">
        <v>3</v>
      </c>
      <c r="F158" s="55">
        <f>IF(COUNTIF($J158:$J162,"Done")=5,"Done",IF(COUNTIF($J158:$J162,"Blocked")&gt;0,"Blocked",IF(COUNTIF($J158:$J162,"To do")=5,"Not started","In progress")))</f>
        <v/>
      </c>
      <c r="G158" s="55">
        <f>IF(SUM($M158:$M162)=0,"",SUM($M158:$M162))</f>
        <v/>
      </c>
      <c r="H158" s="17" t="n">
        <v>1</v>
      </c>
      <c r="I158" s="18" t="inlineStr">
        <is>
          <t>Read all three.</t>
        </is>
      </c>
      <c r="J158" s="19" t="inlineStr">
        <is>
          <t>Done</t>
        </is>
      </c>
      <c r="K158" s="20" t="n">
        <v>46283</v>
      </c>
      <c r="L158" s="20" t="n">
        <v>46283</v>
      </c>
      <c r="M158" s="21" t="n">
        <v>0.3</v>
      </c>
      <c r="N158" s="52" t="inlineStr">
        <is>
          <t>Before screens come structure and sequence. IA is how content is organised; flows are how a user moves through it.</t>
        </is>
      </c>
      <c r="O158" s="52" t="inlineStr">
        <is>
          <t>• NN/g: *Information Architecture* — https://www.nngroup.com/topic/information-architecture
• NN/g: *Card Sorting* — https://www.nngroup.com/articles/card-sorting-definition/
• IxDF: *User Flows* — https://www.interaction-design.org/literature/topics/user-flows</t>
        </is>
      </c>
      <c r="P158" s="52" t="inlineStr">
        <is>
          <t>Organising navigation to mirror the company's org chart is the most common IA mistake in enterprise software. Watch for it in your own work.
---
---</t>
        </is>
      </c>
      <c r="Q158" s="52" t="inlineStr">
        <is>
          <t>—</t>
        </is>
      </c>
      <c r="R158" s="51" t="n"/>
      <c r="S158" s="52" t="n"/>
    </row>
    <row r="159" ht="42.75" customHeight="1" s="71">
      <c r="A159" s="48" t="n"/>
      <c r="B159" s="48" t="n"/>
      <c r="C159" s="48" t="n"/>
      <c r="D159" s="48" t="n"/>
      <c r="E159" s="48" t="n"/>
      <c r="F159" s="48" t="n"/>
      <c r="G159" s="48" t="n"/>
      <c r="H159" s="22" t="n">
        <v>2</v>
      </c>
      <c r="I159" s="23" t="inlineStr">
        <is>
          <t>For Brief B (Harvest Hub, Appendix A), list every piece of content and function the product needs — aim for at least thirty items.</t>
        </is>
      </c>
      <c r="J159" s="24" t="inlineStr">
        <is>
          <t>Done</t>
        </is>
      </c>
      <c r="K159" s="25" t="n">
        <v>46283</v>
      </c>
      <c r="L159" s="25" t="n">
        <v>46283</v>
      </c>
      <c r="M159" s="26" t="n">
        <v>0.75</v>
      </c>
      <c r="N159" s="48" t="n"/>
      <c r="O159" s="48" t="n"/>
      <c r="P159" s="48" t="n"/>
      <c r="Q159" s="48" t="n"/>
      <c r="R159" s="48" t="n"/>
      <c r="S159" s="48" t="n"/>
    </row>
    <row r="160" ht="30" customHeight="1" s="71">
      <c r="A160" s="48" t="n"/>
      <c r="B160" s="48" t="n"/>
      <c r="C160" s="48" t="n"/>
      <c r="D160" s="48" t="n"/>
      <c r="E160" s="48" t="n"/>
      <c r="F160" s="48" t="n"/>
      <c r="G160" s="48" t="n"/>
      <c r="H160" s="22" t="n">
        <v>3</v>
      </c>
      <c r="I160" s="23" t="inlineStr">
        <is>
          <t>Group them into a navigation structure and draw the sitemap.</t>
        </is>
      </c>
      <c r="J160" s="24" t="inlineStr">
        <is>
          <t>Done</t>
        </is>
      </c>
      <c r="K160" s="25" t="n">
        <v>46283</v>
      </c>
      <c r="L160" s="25" t="n">
        <v>46283</v>
      </c>
      <c r="M160" s="26" t="n">
        <v>1</v>
      </c>
      <c r="N160" s="48" t="n"/>
      <c r="O160" s="48" t="n"/>
      <c r="P160" s="48" t="n"/>
      <c r="Q160" s="48" t="n"/>
      <c r="R160" s="48" t="n"/>
      <c r="S160" s="48" t="n"/>
    </row>
    <row r="161" ht="30" customHeight="1" s="71">
      <c r="A161" s="48" t="n"/>
      <c r="B161" s="48" t="n"/>
      <c r="C161" s="48" t="n"/>
      <c r="D161" s="48" t="n"/>
      <c r="E161" s="48" t="n"/>
      <c r="F161" s="48" t="n"/>
      <c r="G161" s="48" t="n"/>
      <c r="H161" s="22" t="n">
        <v>4</v>
      </c>
      <c r="I161" s="23" t="inlineStr">
        <is>
          <t>Draw the user flow for the single most important task, including every decision point and error path.</t>
        </is>
      </c>
      <c r="J161" s="24" t="inlineStr">
        <is>
          <t>Done</t>
        </is>
      </c>
      <c r="K161" s="25" t="n">
        <v>46283</v>
      </c>
      <c r="L161" s="25" t="n">
        <v>46283</v>
      </c>
      <c r="M161" s="26" t="n">
        <v>0.75</v>
      </c>
      <c r="N161" s="48" t="n"/>
      <c r="O161" s="48" t="n"/>
      <c r="P161" s="48" t="n"/>
      <c r="Q161" s="48" t="n"/>
      <c r="R161" s="48" t="n"/>
      <c r="S161" s="48" t="n"/>
    </row>
    <row r="162" ht="55.5" customHeight="1" s="71">
      <c r="A162" s="49" t="n"/>
      <c r="B162" s="49" t="n"/>
      <c r="C162" s="49" t="n"/>
      <c r="D162" s="49" t="n"/>
      <c r="E162" s="49" t="n"/>
      <c r="F162" s="49" t="n"/>
      <c r="G162" s="49" t="n"/>
      <c r="H162" s="27" t="n">
        <v>5</v>
      </c>
      <c r="I162" s="28" t="inlineStr">
        <is>
          <t>Ask Claude: *"Here's my sitemap and main user flow for a produce distributor's admin dashboard. What's missing, and where have I organised things by internal logic instead of user logic?"*</t>
        </is>
      </c>
      <c r="J162" s="29" t="inlineStr">
        <is>
          <t>Done</t>
        </is>
      </c>
      <c r="K162" s="31" t="n">
        <v>46283</v>
      </c>
      <c r="L162" s="31" t="n">
        <v>46283</v>
      </c>
      <c r="M162" s="30" t="n">
        <v>0.2</v>
      </c>
      <c r="N162" s="49" t="n"/>
      <c r="O162" s="49" t="n"/>
      <c r="P162" s="49" t="n"/>
      <c r="Q162" s="49" t="n"/>
      <c r="R162" s="49" t="n"/>
      <c r="S162" s="49" t="n"/>
    </row>
    <row r="163" ht="19.5" customHeight="1" s="71">
      <c r="A163" s="65" t="inlineStr">
        <is>
          <t>4.4</t>
        </is>
      </c>
      <c r="B163" s="54" t="n">
        <v>4</v>
      </c>
      <c r="C163" s="64" t="inlineStr">
        <is>
          <t>Learn: Dashboards and internal tools</t>
        </is>
      </c>
      <c r="D163" s="54" t="inlineStr">
        <is>
          <t>Learn</t>
        </is>
      </c>
      <c r="E163" s="54" t="n">
        <v>3</v>
      </c>
      <c r="F163" s="47">
        <f>IF(COUNTIF($J163:$J167,"Done")=5,"Done",IF(COUNTIF($J163:$J167,"Blocked")&gt;0,"Blocked",IF(COUNTIF($J163:$J167,"To do")=5,"Not started","In progress")))</f>
        <v/>
      </c>
      <c r="G163" s="47">
        <f>IF(SUM($M163:$M167)=0,"",SUM($M163:$M167))</f>
        <v/>
      </c>
      <c r="H163" s="17" t="n">
        <v>1</v>
      </c>
      <c r="I163" s="18" t="inlineStr">
        <is>
          <t>Watch the guide and read the NN/g article.</t>
        </is>
      </c>
      <c r="J163" s="19" t="inlineStr">
        <is>
          <t>Done</t>
        </is>
      </c>
      <c r="K163" s="20" t="n">
        <v>46284</v>
      </c>
      <c r="L163" s="20" t="n">
        <v>46284</v>
      </c>
      <c r="M163" s="21" t="n">
        <v>0.4</v>
      </c>
      <c r="N163" s="53" t="inlineStr">
        <is>
          <t>This is what we build most. Dense, information-heavy interfaces used for hours a day have their own rules.</t>
        </is>
      </c>
      <c r="O163" s="53" t="inlineStr">
        <is>
          <t>• *Dashboard UI Design: Step-by-Step Guide* — https://www.youtube.com/watch?v=BFHTlFazTEI
• NN/g: *Dashboard Design* — https://www.nngroup.com/articles/dashboards-preattentive/
• Your `dashboards` and `data-tables` reference folders</t>
        </is>
      </c>
      <c r="P163" s="53" t="inlineStr">
        <is>
          <t>Consumer design optimises for first impressions. Internal tools optimise for the thousandth use. When you're writing requirements for one, speed and density beat delight almost every time — and the people who'll use it every day are the ones to ask.
---</t>
        </is>
      </c>
      <c r="Q163" s="53" t="inlineStr">
        <is>
          <t>—</t>
        </is>
      </c>
      <c r="R163" s="54" t="n"/>
      <c r="S163" s="53" t="n"/>
    </row>
    <row r="164" ht="30" customHeight="1" s="71">
      <c r="A164" s="48" t="n"/>
      <c r="B164" s="48" t="n"/>
      <c r="C164" s="48" t="n"/>
      <c r="D164" s="48" t="n"/>
      <c r="E164" s="48" t="n"/>
      <c r="F164" s="48" t="n"/>
      <c r="G164" s="48" t="n"/>
      <c r="H164" s="22" t="n">
        <v>2</v>
      </c>
      <c r="I164" s="23" t="inlineStr">
        <is>
          <t>Write down the anatomy of a dashboard: navigation, filters, KPIs, primary data view, detail panel, actions.</t>
        </is>
      </c>
      <c r="J164" s="24" t="inlineStr">
        <is>
          <t>Done</t>
        </is>
      </c>
      <c r="K164" s="25" t="n">
        <v>46286</v>
      </c>
      <c r="L164" s="25" t="n">
        <v>46286</v>
      </c>
      <c r="M164" s="26" t="n">
        <v>0.35</v>
      </c>
      <c r="N164" s="48" t="n"/>
      <c r="O164" s="48" t="n"/>
      <c r="P164" s="48" t="n"/>
      <c r="Q164" s="48" t="n"/>
      <c r="R164" s="48" t="n"/>
      <c r="S164" s="48" t="n"/>
    </row>
    <row r="165" ht="42.75" customHeight="1" s="71">
      <c r="A165" s="48" t="n"/>
      <c r="B165" s="48" t="n"/>
      <c r="C165" s="48" t="n"/>
      <c r="D165" s="48" t="n"/>
      <c r="E165" s="48" t="n"/>
      <c r="F165" s="48" t="n"/>
      <c r="G165" s="48" t="n"/>
      <c r="H165" s="22" t="n">
        <v>3</v>
      </c>
      <c r="I165" s="23" t="inlineStr">
        <is>
          <t>List the specific problems dense interfaces face — scanning, data density, filter state, bulk actions, pagination versus infinite scroll, keyboard use.</t>
        </is>
      </c>
      <c r="J165" s="24" t="inlineStr">
        <is>
          <t>Done</t>
        </is>
      </c>
      <c r="K165" s="25" t="n">
        <v>46286</v>
      </c>
      <c r="L165" s="25" t="n">
        <v>46286</v>
      </c>
      <c r="M165" s="26" t="n">
        <v>0.6</v>
      </c>
      <c r="N165" s="48" t="n"/>
      <c r="O165" s="48" t="n"/>
      <c r="P165" s="48" t="n"/>
      <c r="Q165" s="48" t="n"/>
      <c r="R165" s="48" t="n"/>
      <c r="S165" s="48" t="n"/>
    </row>
    <row r="166" ht="30" customHeight="1" s="71">
      <c r="A166" s="48" t="n"/>
      <c r="B166" s="48" t="n"/>
      <c r="C166" s="48" t="n"/>
      <c r="D166" s="48" t="n"/>
      <c r="E166" s="48" t="n"/>
      <c r="F166" s="48" t="n"/>
      <c r="G166" s="48" t="n"/>
      <c r="H166" s="22" t="n">
        <v>4</v>
      </c>
      <c r="I166" s="23" t="inlineStr">
        <is>
          <t>For each problem, find a solution in your reference library and note it.</t>
        </is>
      </c>
      <c r="J166" s="24" t="inlineStr">
        <is>
          <t>Done</t>
        </is>
      </c>
      <c r="K166" s="25" t="n">
        <v>46286</v>
      </c>
      <c r="L166" s="25" t="n">
        <v>46286</v>
      </c>
      <c r="M166" s="26" t="n">
        <v>1</v>
      </c>
      <c r="N166" s="48" t="n"/>
      <c r="O166" s="48" t="n"/>
      <c r="P166" s="48" t="n"/>
      <c r="Q166" s="48" t="n"/>
      <c r="R166" s="48" t="n"/>
      <c r="S166" s="48" t="n"/>
    </row>
    <row r="167" ht="42.75" customHeight="1" s="71">
      <c r="A167" s="49" t="n"/>
      <c r="B167" s="49" t="n"/>
      <c r="C167" s="49" t="n"/>
      <c r="D167" s="49" t="n"/>
      <c r="E167" s="49" t="n"/>
      <c r="F167" s="49" t="n"/>
      <c r="G167" s="49" t="n"/>
      <c r="H167" s="27" t="n">
        <v>5</v>
      </c>
      <c r="I167" s="28" t="inlineStr">
        <is>
          <t>Ask Claude: *"What do teams coming from consumer apps consistently get wrong when they first specify enterprise dashboards?"* Compare against your list.</t>
        </is>
      </c>
      <c r="J167" s="29" t="inlineStr">
        <is>
          <t>Done</t>
        </is>
      </c>
      <c r="K167" s="31" t="n">
        <v>46286</v>
      </c>
      <c r="L167" s="31" t="n">
        <v>46286</v>
      </c>
      <c r="M167" s="30" t="n">
        <v>0.4</v>
      </c>
      <c r="N167" s="49" t="n"/>
      <c r="O167" s="49" t="n"/>
      <c r="P167" s="49" t="n"/>
      <c r="Q167" s="49" t="n"/>
      <c r="R167" s="49" t="n"/>
      <c r="S167" s="49" t="n"/>
    </row>
    <row r="168" ht="30" customHeight="1" s="71">
      <c r="A168" s="60" t="inlineStr">
        <is>
          <t>4.5</t>
        </is>
      </c>
      <c r="B168" s="51" t="n">
        <v>4</v>
      </c>
      <c r="C168" s="50" t="inlineStr">
        <is>
          <t>Learn: Reading the front end</t>
        </is>
      </c>
      <c r="D168" s="51" t="inlineStr">
        <is>
          <t>Learn</t>
        </is>
      </c>
      <c r="E168" s="51" t="n">
        <v>4</v>
      </c>
      <c r="F168" s="55">
        <f>IF(COUNTIF($J168:$J172,"Done")=5,"Done",IF(COUNTIF($J168:$J172,"Blocked")&gt;0,"Blocked",IF(COUNTIF($J168:$J172,"To do")=5,"Not started","In progress")))</f>
        <v/>
      </c>
      <c r="G168" s="55">
        <f>IF(SUM($M168:$M172)=0,"",SUM($M168:$M172))</f>
        <v/>
      </c>
      <c r="H168" s="17" t="n">
        <v>1</v>
      </c>
      <c r="I168" s="18" t="inlineStr">
        <is>
          <t>Work through the W3Schools HTML tutorial as far as forms. Aim to recognise elements, not to memorise them.</t>
        </is>
      </c>
      <c r="J168" s="19" t="inlineStr">
        <is>
          <t>Done</t>
        </is>
      </c>
      <c r="K168" s="31" t="n">
        <v>46286</v>
      </c>
      <c r="L168" s="31" t="n">
        <v>46286</v>
      </c>
      <c r="M168" s="21" t="n">
        <v>2</v>
      </c>
      <c r="N168" s="52" t="inlineStr">
        <is>
          <t>You won't write production code. You do need to read it, talk about it, and know which of your requests are cheap and which quietly imply a rewrite — because that knowledge changes what you ask for and what you promise a client.</t>
        </is>
      </c>
      <c r="O168" s="52" t="inlineStr">
        <is>
          <t>• W3Schools HTML tutorial — https://www.w3schools.com/html/default.asp
• W3Schools CSS tutorial — https://www.w3schools.com/css/default.asp
• MDN: *Structuring content with HTML* — https://developer.mozilla.org/en-US/docs/Learn_web_development/Core/Structuring_content
• Flexbox Froggy — https://flexboxfroggy.com/</t>
        </is>
      </c>
      <c r="P168" s="52" t="inlineStr">
        <is>
          <t>That last question makes you dramatically easier to work with. A product manager who knows the difference between a spacing tweak and a layout rewrite gets taken seriously in estimation conversations.
---</t>
        </is>
      </c>
      <c r="Q168" s="52" t="inlineStr">
        <is>
          <t>—</t>
        </is>
      </c>
      <c r="R168" s="51" t="n"/>
      <c r="S168" s="52" t="n"/>
    </row>
    <row r="169" ht="42.75" customHeight="1" s="71">
      <c r="A169" s="48" t="n"/>
      <c r="B169" s="48" t="n"/>
      <c r="C169" s="48" t="n"/>
      <c r="D169" s="48" t="n"/>
      <c r="E169" s="48" t="n"/>
      <c r="F169" s="48" t="n"/>
      <c r="G169" s="48" t="n"/>
      <c r="H169" s="22" t="n">
        <v>2</v>
      </c>
      <c r="I169" s="23" t="inlineStr">
        <is>
          <t>Skim the CSS tutorial through the box model, then play Flexbox Froggy — it takes half an hour and makes layout conversations make sense.</t>
        </is>
      </c>
      <c r="J169" s="24" t="inlineStr">
        <is>
          <t>Done</t>
        </is>
      </c>
      <c r="K169" s="31" t="n">
        <v>46286</v>
      </c>
      <c r="L169" s="31" t="n">
        <v>46288</v>
      </c>
      <c r="M169" s="26" t="n">
        <v>0.5</v>
      </c>
      <c r="N169" s="48" t="n"/>
      <c r="O169" s="48" t="n"/>
      <c r="P169" s="48" t="n"/>
      <c r="Q169" s="48" t="n"/>
      <c r="R169" s="48" t="n"/>
      <c r="S169" s="48" t="n"/>
    </row>
    <row r="170" ht="42.75" customHeight="1" s="71">
      <c r="A170" s="48" t="n"/>
      <c r="B170" s="48" t="n"/>
      <c r="C170" s="48" t="n"/>
      <c r="D170" s="48" t="n"/>
      <c r="E170" s="48" t="n"/>
      <c r="F170" s="48" t="n"/>
      <c r="G170" s="48" t="n"/>
      <c r="H170" s="22" t="n">
        <v>3</v>
      </c>
      <c r="I170" s="23" t="inlineStr">
        <is>
          <t>Learn what semantic HTML means and why a `&lt;button&gt;` is not a styled `&lt;div&gt;`. This one has real accessibility consequences you'll be asked about.</t>
        </is>
      </c>
      <c r="J170" s="24" t="inlineStr">
        <is>
          <t>Done</t>
        </is>
      </c>
      <c r="K170" s="25" t="n">
        <v>46287</v>
      </c>
      <c r="L170" s="25" t="n">
        <v>46287</v>
      </c>
      <c r="M170" s="26" t="n"/>
      <c r="N170" s="48" t="n"/>
      <c r="O170" s="48" t="n"/>
      <c r="P170" s="48" t="n"/>
      <c r="Q170" s="48" t="n"/>
      <c r="R170" s="48" t="n"/>
      <c r="S170" s="48" t="n"/>
    </row>
    <row r="171" ht="42.75" customHeight="1" s="71">
      <c r="A171" s="48" t="n"/>
      <c r="B171" s="48" t="n"/>
      <c r="C171" s="48" t="n"/>
      <c r="D171" s="48" t="n"/>
      <c r="E171" s="48" t="n"/>
      <c r="F171" s="48" t="n"/>
      <c r="G171" s="48" t="n"/>
      <c r="H171" s="22" t="n">
        <v>4</v>
      </c>
      <c r="I171" s="23" t="inlineStr">
        <is>
          <t>Open any Claude Design prototype's code and read it. Identify the structure, the tokens, and where the states are handled.</t>
        </is>
      </c>
      <c r="J171" s="24" t="inlineStr">
        <is>
          <t>Done</t>
        </is>
      </c>
      <c r="K171" s="25" t="n">
        <v>46287</v>
      </c>
      <c r="L171" s="25" t="n">
        <v>46287</v>
      </c>
      <c r="M171" s="26" t="n">
        <v>0.5</v>
      </c>
      <c r="N171" s="48" t="n"/>
      <c r="O171" s="48" t="n"/>
      <c r="P171" s="48" t="n"/>
      <c r="Q171" s="48" t="n"/>
      <c r="R171" s="48" t="n"/>
      <c r="S171" s="48" t="n"/>
    </row>
    <row r="172" ht="55.5" customHeight="1" s="71">
      <c r="A172" s="49" t="n"/>
      <c r="B172" s="49" t="n"/>
      <c r="C172" s="49" t="n"/>
      <c r="D172" s="49" t="n"/>
      <c r="E172" s="49" t="n"/>
      <c r="F172" s="49" t="n"/>
      <c r="G172" s="49" t="n"/>
      <c r="H172" s="27" t="n">
        <v>5</v>
      </c>
      <c r="I172" s="28" t="inlineStr">
        <is>
          <t>Ask Claude: *"Explain which CSS and layout changes are cheap for a developer and which imply restructuring — I want to know which of my requests are expensive before I make them."* Write down the five that surprised you.</t>
        </is>
      </c>
      <c r="J172" s="29" t="inlineStr">
        <is>
          <t>Done</t>
        </is>
      </c>
      <c r="K172" s="31" t="n">
        <v>46287</v>
      </c>
      <c r="L172" s="31" t="n">
        <v>46287</v>
      </c>
      <c r="M172" s="30" t="n">
        <v>0.4</v>
      </c>
      <c r="N172" s="49" t="n"/>
      <c r="O172" s="49" t="n"/>
      <c r="P172" s="49" t="n"/>
      <c r="Q172" s="49" t="n"/>
      <c r="R172" s="49" t="n"/>
      <c r="S172" s="49" t="n"/>
    </row>
    <row r="173" ht="19.5" customHeight="1" s="71">
      <c r="A173" s="65" t="inlineStr">
        <is>
          <t>4.6</t>
        </is>
      </c>
      <c r="B173" s="54" t="n">
        <v>4</v>
      </c>
      <c r="C173" s="64" t="inlineStr">
        <is>
          <t>Build: Your first Claude Design prototype</t>
        </is>
      </c>
      <c r="D173" s="54" t="inlineStr">
        <is>
          <t>Build</t>
        </is>
      </c>
      <c r="E173" s="54" t="n">
        <v>3</v>
      </c>
      <c r="F173" s="47">
        <f>IF(COUNTIF($J173:$J177,"Done")=5,"Done",IF(COUNTIF($J173:$J177,"Blocked")&gt;0,"Blocked",IF(COUNTIF($J173:$J177,"To do")=5,"Not started","In progress")))</f>
        <v/>
      </c>
      <c r="G173" s="47">
        <f>IF(SUM($M173:$M177)=0,"",SUM($M173:$M177))</f>
        <v/>
      </c>
      <c r="H173" s="17" t="n">
        <v>1</v>
      </c>
      <c r="I173" s="18" t="inlineStr">
        <is>
          <t>Read the getting-started guide fully.</t>
        </is>
      </c>
      <c r="J173" s="19" t="inlineStr">
        <is>
          <t>Done</t>
        </is>
      </c>
      <c r="K173" s="20" t="n">
        <v>46287</v>
      </c>
      <c r="L173" s="20" t="n">
        <v>46287</v>
      </c>
      <c r="M173" s="21" t="n">
        <v>0.25</v>
      </c>
      <c r="N173" s="53" t="inlineStr">
        <is>
          <t>Claude Design turns a described interface into real, interactive HTML on a canvas you refine by conversation. Learn the loop.</t>
        </is>
      </c>
      <c r="O173" s="53" t="inlineStr">
        <is>
          <t>• Get started with Claude Design — https://support.claude.com/en/articles/14604416-get-started-with-claude-design
• Introducing Claude Design — https://www.anthropic.com/news/claude-design-anthropic-labs
• Claude Design — https://claude.ai/design</t>
        </is>
      </c>
      <c r="P173" s="53" t="inlineStr">
        <is>
          <t>The detail you put into the first prompt determines how many rounds you need. Vague in, vague out — this is Module 1 showing up in your day job.
---
---</t>
        </is>
      </c>
      <c r="Q173" s="53" t="inlineStr">
        <is>
          <t>4.2</t>
        </is>
      </c>
      <c r="R173" s="54" t="n"/>
      <c r="S173" s="53" t="n"/>
    </row>
    <row r="174" ht="42.75" customHeight="1" s="71">
      <c r="A174" s="48" t="n"/>
      <c r="B174" s="48" t="n"/>
      <c r="C174" s="48" t="n"/>
      <c r="D174" s="48" t="n"/>
      <c r="E174" s="48" t="n"/>
      <c r="F174" s="48" t="n"/>
      <c r="G174" s="48" t="n"/>
      <c r="H174" s="22" t="n">
        <v>2</v>
      </c>
      <c r="I174" s="23" t="inlineStr">
        <is>
          <t>Build the settings page you sketched in Task 4.2, starting from a detailed prompt that specifies structure, hierarchy and what matters most on the screen.</t>
        </is>
      </c>
      <c r="J174" s="24" t="inlineStr">
        <is>
          <t>Done</t>
        </is>
      </c>
      <c r="K174" s="25" t="n">
        <v>46287</v>
      </c>
      <c r="L174" s="25" t="n">
        <v>46287</v>
      </c>
      <c r="M174" s="26" t="n">
        <v>0.5</v>
      </c>
      <c r="N174" s="48" t="n"/>
      <c r="O174" s="48" t="n"/>
      <c r="P174" s="48" t="n"/>
      <c r="Q174" s="48" t="n"/>
      <c r="R174" s="48" t="n"/>
      <c r="S174" s="48" t="n"/>
    </row>
    <row r="175" ht="30" customHeight="1" s="71">
      <c r="A175" s="48" t="n"/>
      <c r="B175" s="48" t="n"/>
      <c r="C175" s="48" t="n"/>
      <c r="D175" s="48" t="n"/>
      <c r="E175" s="48" t="n"/>
      <c r="F175" s="48" t="n"/>
      <c r="G175" s="48" t="n"/>
      <c r="H175" s="22" t="n">
        <v>3</v>
      </c>
      <c r="I175" s="23" t="inlineStr">
        <is>
          <t>Refine it through at least eight rounds — some via chat, some via inline comments on the canvas.</t>
        </is>
      </c>
      <c r="J175" s="24" t="inlineStr">
        <is>
          <t>Done</t>
        </is>
      </c>
      <c r="K175" s="25" t="n">
        <v>46287</v>
      </c>
      <c r="L175" s="25" t="n">
        <v>46287</v>
      </c>
      <c r="M175" s="26" t="n">
        <v>0.75</v>
      </c>
      <c r="N175" s="48" t="n"/>
      <c r="O175" s="48" t="n"/>
      <c r="P175" s="48" t="n"/>
      <c r="Q175" s="48" t="n"/>
      <c r="R175" s="48" t="n"/>
      <c r="S175" s="48" t="n"/>
    </row>
    <row r="176" ht="30" customHeight="1" s="71">
      <c r="A176" s="48" t="n"/>
      <c r="B176" s="48" t="n"/>
      <c r="C176" s="48" t="n"/>
      <c r="D176" s="48" t="n"/>
      <c r="E176" s="48" t="n"/>
      <c r="F176" s="48" t="n"/>
      <c r="G176" s="48" t="n"/>
      <c r="H176" s="22" t="n">
        <v>4</v>
      </c>
      <c r="I176" s="23" t="inlineStr">
        <is>
          <t>Log every round: what you asked, what changed, whether it improved.</t>
        </is>
      </c>
      <c r="J176" s="24" t="inlineStr">
        <is>
          <t>Done</t>
        </is>
      </c>
      <c r="K176" s="25" t="n">
        <v>46287</v>
      </c>
      <c r="L176" s="25" t="n">
        <v>46287</v>
      </c>
      <c r="M176" s="26" t="n">
        <v>0.25</v>
      </c>
      <c r="N176" s="48" t="n"/>
      <c r="O176" s="48" t="n"/>
      <c r="P176" s="48" t="n"/>
      <c r="Q176" s="48" t="n"/>
      <c r="R176" s="48" t="n"/>
      <c r="S176" s="48" t="n"/>
    </row>
    <row r="177" ht="30" customHeight="1" s="71">
      <c r="A177" s="49" t="n"/>
      <c r="B177" s="49" t="n"/>
      <c r="C177" s="49" t="n"/>
      <c r="D177" s="49" t="n"/>
      <c r="E177" s="49" t="n"/>
      <c r="F177" s="49" t="n"/>
      <c r="G177" s="49" t="n"/>
      <c r="H177" s="27" t="n">
        <v>5</v>
      </c>
      <c r="I177" s="28" t="inlineStr">
        <is>
          <t>Compare your first prompt with what you'd write now, and add the better version to your prompt library.</t>
        </is>
      </c>
      <c r="J177" s="29" t="inlineStr">
        <is>
          <t>Done</t>
        </is>
      </c>
      <c r="K177" s="31" t="n">
        <v>46287</v>
      </c>
      <c r="L177" s="31" t="n">
        <v>46287</v>
      </c>
      <c r="M177" s="30" t="n">
        <v>0.3</v>
      </c>
      <c r="N177" s="49" t="n"/>
      <c r="O177" s="49" t="n"/>
      <c r="P177" s="49" t="n"/>
      <c r="Q177" s="49" t="n"/>
      <c r="R177" s="49" t="n"/>
      <c r="S177" s="49" t="n"/>
    </row>
    <row r="178" ht="19.5" customHeight="1" s="71">
      <c r="A178" s="60" t="inlineStr">
        <is>
          <t>4.7</t>
        </is>
      </c>
      <c r="B178" s="51" t="n">
        <v>4</v>
      </c>
      <c r="C178" s="50" t="inlineStr">
        <is>
          <t>Build: States, edges and the unhappy path</t>
        </is>
      </c>
      <c r="D178" s="51" t="inlineStr">
        <is>
          <t>Build</t>
        </is>
      </c>
      <c r="E178" s="51" t="n">
        <v>3</v>
      </c>
      <c r="F178" s="55">
        <f>IF(COUNTIF($J178:$J182,"Done")=5,"Done",IF(COUNTIF($J178:$J182,"Blocked")&gt;0,"Blocked",IF(COUNTIF($J178:$J182,"To do")=5,"Not started","In progress")))</f>
        <v/>
      </c>
      <c r="G178" s="55">
        <f>IF(SUM($M178:$M182)=0,"",SUM($M178:$M182))</f>
        <v/>
      </c>
      <c r="H178" s="17" t="n">
        <v>1</v>
      </c>
      <c r="I178" s="18" t="inlineStr">
        <is>
          <t>Read both NN/g articles.</t>
        </is>
      </c>
      <c r="J178" s="19" t="inlineStr">
        <is>
          <t>Done</t>
        </is>
      </c>
      <c r="K178" s="20" t="n">
        <v>46287</v>
      </c>
      <c r="L178" s="20" t="n">
        <v>46287</v>
      </c>
      <c r="M178" s="21" t="n">
        <v>0.3</v>
      </c>
      <c r="N178" s="52" t="inlineStr">
        <is>
          <t>Beginners design the screen where everything works. Professionals design the other nine.</t>
        </is>
      </c>
      <c r="O178" s="52" t="inlineStr">
        <is>
          <t>• NN/g: *Error Message Guidelines* — https://www.nngroup.com/articles/error-message-guidelines/
• NN/g: *Empty States* — https://www.nngroup.com/articles/empty-state-interface-design/
• Your `empty-states` and `error-states` reference folders</t>
        </is>
      </c>
      <c r="P178" s="52" t="inlineStr">
        <is>
          <t>Empty states are the most under-designed screen in software and the first one a new user sees. Treat them as an opportunity, not an afterthought.
---
---</t>
        </is>
      </c>
      <c r="Q178" s="52" t="inlineStr">
        <is>
          <t>4.6</t>
        </is>
      </c>
      <c r="R178" s="51" t="n"/>
      <c r="S178" s="52" t="n"/>
    </row>
    <row r="179" ht="55.5" customHeight="1" s="71">
      <c r="A179" s="48" t="n"/>
      <c r="B179" s="48" t="n"/>
      <c r="C179" s="48" t="n"/>
      <c r="D179" s="48" t="n"/>
      <c r="E179" s="48" t="n"/>
      <c r="F179" s="48" t="n"/>
      <c r="G179" s="48" t="n"/>
      <c r="H179" s="22" t="n">
        <v>2</v>
      </c>
      <c r="I179" s="23" t="inlineStr">
        <is>
          <t>List every state a data-heavy screen can be in: first-use empty, user-cleared empty, loading, partial load, error, no results after filtering, permission denied, offline, too much data, one item, one thousand items.</t>
        </is>
      </c>
      <c r="J179" s="24" t="inlineStr">
        <is>
          <t>Done</t>
        </is>
      </c>
      <c r="K179" s="25" t="n">
        <v>46287</v>
      </c>
      <c r="L179" s="25" t="n">
        <v>46287</v>
      </c>
      <c r="M179" s="26" t="n">
        <v>0.4</v>
      </c>
      <c r="N179" s="48" t="n"/>
      <c r="O179" s="48" t="n"/>
      <c r="P179" s="48" t="n"/>
      <c r="Q179" s="48" t="n"/>
      <c r="R179" s="48" t="n"/>
      <c r="S179" s="48" t="n"/>
    </row>
    <row r="180" ht="30" customHeight="1" s="71">
      <c r="A180" s="48" t="n"/>
      <c r="B180" s="48" t="n"/>
      <c r="C180" s="48" t="n"/>
      <c r="D180" s="48" t="n"/>
      <c r="E180" s="48" t="n"/>
      <c r="F180" s="48" t="n"/>
      <c r="G180" s="48" t="n"/>
      <c r="H180" s="22" t="n">
        <v>3</v>
      </c>
      <c r="I180" s="23" t="inlineStr">
        <is>
          <t>Take your Task 4.6 prototype and design at least six of those states in Claude Design.</t>
        </is>
      </c>
      <c r="J180" s="24" t="inlineStr">
        <is>
          <t>Done</t>
        </is>
      </c>
      <c r="K180" s="25" t="n">
        <v>46287</v>
      </c>
      <c r="L180" s="25" t="n">
        <v>46287</v>
      </c>
      <c r="M180" s="26" t="n">
        <v>1.5</v>
      </c>
      <c r="N180" s="48" t="n"/>
      <c r="O180" s="48" t="n"/>
      <c r="P180" s="48" t="n"/>
      <c r="Q180" s="48" t="n"/>
      <c r="R180" s="48" t="n"/>
      <c r="S180" s="48" t="n"/>
    </row>
    <row r="181" ht="30" customHeight="1" s="71">
      <c r="A181" s="48" t="n"/>
      <c r="B181" s="48" t="n"/>
      <c r="C181" s="48" t="n"/>
      <c r="D181" s="48" t="n"/>
      <c r="E181" s="48" t="n"/>
      <c r="F181" s="48" t="n"/>
      <c r="G181" s="48" t="n"/>
      <c r="H181" s="22" t="n">
        <v>4</v>
      </c>
      <c r="I181" s="23" t="inlineStr">
        <is>
          <t>Write the actual copy for each — no placeholder text. Error messages must say what happened and what to do next.</t>
        </is>
      </c>
      <c r="J181" s="24" t="inlineStr">
        <is>
          <t>Done</t>
        </is>
      </c>
      <c r="K181" s="25" t="n">
        <v>46287</v>
      </c>
      <c r="L181" s="25" t="n">
        <v>46287</v>
      </c>
      <c r="M181" s="26" t="n">
        <v>0.8</v>
      </c>
      <c r="N181" s="48" t="n"/>
      <c r="O181" s="48" t="n"/>
      <c r="P181" s="48" t="n"/>
      <c r="Q181" s="48" t="n"/>
      <c r="R181" s="48" t="n"/>
      <c r="S181" s="48" t="n"/>
    </row>
    <row r="182" ht="42.75" customHeight="1" s="71">
      <c r="A182" s="49" t="n"/>
      <c r="B182" s="49" t="n"/>
      <c r="C182" s="49" t="n"/>
      <c r="D182" s="49" t="n"/>
      <c r="E182" s="49" t="n"/>
      <c r="F182" s="49" t="n"/>
      <c r="G182" s="49" t="n"/>
      <c r="H182" s="27" t="n">
        <v>5</v>
      </c>
      <c r="I182" s="28" t="inlineStr">
        <is>
          <t>Ask Claude: *"Review these six state designs and their copy. Which messages tell the user what went wrong but not what to do?"*</t>
        </is>
      </c>
      <c r="J182" s="29" t="inlineStr">
        <is>
          <t>Done</t>
        </is>
      </c>
      <c r="K182" s="31" t="n">
        <v>46287</v>
      </c>
      <c r="L182" s="31" t="n">
        <v>46287</v>
      </c>
      <c r="M182" s="30" t="n">
        <v>0.3</v>
      </c>
      <c r="N182" s="49" t="n"/>
      <c r="O182" s="49" t="n"/>
      <c r="P182" s="49" t="n"/>
      <c r="Q182" s="49" t="n"/>
      <c r="R182" s="49" t="n"/>
      <c r="S182" s="49" t="n"/>
    </row>
    <row r="183" ht="30" customHeight="1" s="71">
      <c r="A183" s="65" t="inlineStr">
        <is>
          <t>4.8</t>
        </is>
      </c>
      <c r="B183" s="54" t="n">
        <v>4</v>
      </c>
      <c r="C183" s="64" t="inlineStr">
        <is>
          <t>Build: A real screen from your own flow</t>
        </is>
      </c>
      <c r="D183" s="54" t="inlineStr">
        <is>
          <t>Build</t>
        </is>
      </c>
      <c r="E183" s="54" t="n">
        <v>3</v>
      </c>
      <c r="F183" s="47">
        <f>IF(COUNTIF($J183:$J187,"Done")=5,"Done",IF(COUNTIF($J183:$J187,"Blocked")&gt;0,"Blocked",IF(COUNTIF($J183:$J187,"To do")=5,"Not started","In progress")))</f>
        <v/>
      </c>
      <c r="G183" s="47">
        <f>IF(SUM($M183:$M187)=0,"",SUM($M183:$M187))</f>
        <v/>
      </c>
      <c r="H183" s="17" t="n">
        <v>1</v>
      </c>
      <c r="I183" s="18" t="inlineStr">
        <is>
          <t>Pick the most important screen from your Harvest Hub flow — the order management view.</t>
        </is>
      </c>
      <c r="J183" s="19" t="inlineStr">
        <is>
          <t>Done</t>
        </is>
      </c>
      <c r="K183" s="20" t="n">
        <v>46287</v>
      </c>
      <c r="L183" s="20" t="n">
        <v>46287</v>
      </c>
      <c r="M183" s="21" t="n">
        <v>0.2</v>
      </c>
      <c r="N183" s="53" t="inlineStr">
        <is>
          <t>Put your flows, your specification skills and Claude Design together on a screen from Brief B. The point is a working artefact you can put in front of someone, not a polished one.</t>
        </is>
      </c>
      <c r="O183" s="53" t="inlineStr">
        <is>
          <t>• Your flows from Task 4.3
• Brief B: Harvest Hub — Appendix A
• Your IA and flows from Task 4.3</t>
        </is>
      </c>
      <c r="P183" s="53" t="inlineStr">
        <is>
          <t>This is the first thing you've made that resembles real client work. Take the time to make it good — it goes in your portfolio.
---
---</t>
        </is>
      </c>
      <c r="Q183" s="53" t="inlineStr">
        <is>
          <t>3.1, 4.3</t>
        </is>
      </c>
      <c r="R183" s="54" t="n"/>
      <c r="S183" s="53" t="n"/>
    </row>
    <row r="184" ht="19.5" customHeight="1" s="71">
      <c r="A184" s="48" t="n"/>
      <c r="B184" s="48" t="n"/>
      <c r="C184" s="48" t="n"/>
      <c r="D184" s="48" t="n"/>
      <c r="E184" s="48" t="n"/>
      <c r="F184" s="48" t="n"/>
      <c r="G184" s="48" t="n"/>
      <c r="H184" s="22" t="n">
        <v>2</v>
      </c>
      <c r="I184" s="23" t="inlineStr">
        <is>
          <t>Wireframe it on paper first. Do not skip this.</t>
        </is>
      </c>
      <c r="J184" s="24" t="inlineStr">
        <is>
          <t>Done</t>
        </is>
      </c>
      <c r="K184" s="25" t="n">
        <v>46287</v>
      </c>
      <c r="L184" s="25" t="n">
        <v>46287</v>
      </c>
      <c r="M184" s="26" t="n"/>
      <c r="N184" s="48" t="n"/>
      <c r="O184" s="48" t="n"/>
      <c r="P184" s="48" t="n"/>
      <c r="Q184" s="48" t="n"/>
      <c r="R184" s="48" t="n"/>
      <c r="S184" s="48" t="n"/>
    </row>
    <row r="185" ht="30" customHeight="1" s="71">
      <c r="A185" s="48" t="n"/>
      <c r="B185" s="48" t="n"/>
      <c r="C185" s="48" t="n"/>
      <c r="D185" s="48" t="n"/>
      <c r="E185" s="48" t="n"/>
      <c r="F185" s="48" t="n"/>
      <c r="G185" s="48" t="n"/>
      <c r="H185" s="22" t="n">
        <v>3</v>
      </c>
      <c r="I185" s="23" t="inlineStr">
        <is>
          <t>Build it in Claude Design, giving it a clear written description of structure, hierarchy and every state.</t>
        </is>
      </c>
      <c r="J185" s="24" t="inlineStr">
        <is>
          <t>Done</t>
        </is>
      </c>
      <c r="K185" s="25" t="n">
        <v>46287</v>
      </c>
      <c r="L185" s="25" t="n">
        <v>46287</v>
      </c>
      <c r="M185" s="26" t="n"/>
      <c r="N185" s="48" t="n"/>
      <c r="O185" s="48" t="n"/>
      <c r="P185" s="48" t="n"/>
      <c r="Q185" s="48" t="n"/>
      <c r="R185" s="48" t="n"/>
      <c r="S185" s="48" t="n"/>
    </row>
    <row r="186" ht="42.75" customHeight="1" s="71">
      <c r="A186" s="48" t="n"/>
      <c r="B186" s="48" t="n"/>
      <c r="C186" s="48" t="n"/>
      <c r="D186" s="48" t="n"/>
      <c r="E186" s="48" t="n"/>
      <c r="F186" s="48" t="n"/>
      <c r="G186" s="48" t="n"/>
      <c r="H186" s="22" t="n">
        <v>4</v>
      </c>
      <c r="I186" s="23" t="inlineStr">
        <is>
          <t>Include at least: navigation, filters, a data table with sortable columns, row actions, a detail panel, and one modal.</t>
        </is>
      </c>
      <c r="J186" s="24" t="inlineStr">
        <is>
          <t>Done</t>
        </is>
      </c>
      <c r="K186" s="25" t="n">
        <v>46287</v>
      </c>
      <c r="L186" s="25" t="n">
        <v>46287</v>
      </c>
      <c r="M186" s="26" t="n"/>
      <c r="N186" s="48" t="n"/>
      <c r="O186" s="48" t="n"/>
      <c r="P186" s="48" t="n"/>
      <c r="Q186" s="48" t="n"/>
      <c r="R186" s="48" t="n"/>
      <c r="S186" s="48" t="n"/>
    </row>
    <row r="187" ht="42.75" customHeight="1" s="71">
      <c r="A187" s="49" t="n"/>
      <c r="B187" s="49" t="n"/>
      <c r="C187" s="49" t="n"/>
      <c r="D187" s="49" t="n"/>
      <c r="E187" s="49" t="n"/>
      <c r="F187" s="49" t="n"/>
      <c r="G187" s="49" t="n"/>
      <c r="H187" s="27" t="n">
        <v>5</v>
      </c>
      <c r="I187" s="28" t="inlineStr">
        <is>
          <t>Self-review against your five checks from Task 3.1 — hierarchy, spacing, alignment, contrast, primary action — then fix everything you flagged.</t>
        </is>
      </c>
      <c r="J187" s="29" t="inlineStr">
        <is>
          <t>Done</t>
        </is>
      </c>
      <c r="K187" s="31" t="n">
        <v>46287</v>
      </c>
      <c r="L187" s="31" t="n">
        <v>46287</v>
      </c>
      <c r="M187" s="30" t="n">
        <v>0.6</v>
      </c>
      <c r="N187" s="49" t="n"/>
      <c r="O187" s="49" t="n"/>
      <c r="P187" s="49" t="n"/>
      <c r="Q187" s="49" t="n"/>
      <c r="R187" s="49" t="n"/>
      <c r="S187" s="49" t="n"/>
    </row>
    <row r="188" ht="19.5" customHeight="1" s="71">
      <c r="A188" s="60" t="inlineStr">
        <is>
          <t>4.9</t>
        </is>
      </c>
      <c r="B188" s="51" t="n">
        <v>4</v>
      </c>
      <c r="C188" s="50" t="inlineStr">
        <is>
          <t>Learn: Accessibility fundamentals</t>
        </is>
      </c>
      <c r="D188" s="51" t="inlineStr">
        <is>
          <t>Learn</t>
        </is>
      </c>
      <c r="E188" s="51" t="n">
        <v>3</v>
      </c>
      <c r="F188" s="55">
        <f>IF(COUNTIF($J188:$J192,"Done")=5,"Done",IF(COUNTIF($J188:$J192,"Blocked")&gt;0,"Blocked",IF(COUNTIF($J188:$J192,"To do")=5,"Not started","In progress")))</f>
        <v/>
      </c>
      <c r="G188" s="55">
        <f>IF(SUM($M188:$M192)=0,"",SUM($M188:$M192))</f>
        <v/>
      </c>
      <c r="H188" s="17" t="n">
        <v>1</v>
      </c>
      <c r="I188" s="18" t="inlineStr">
        <is>
          <t>Read the W3C introduction and skim the A11Y checklist.</t>
        </is>
      </c>
      <c r="J188" s="19" t="inlineStr">
        <is>
          <t>Done</t>
        </is>
      </c>
      <c r="K188" s="20" t="n">
        <v>46287</v>
      </c>
      <c r="L188" s="20" t="n">
        <v>46287</v>
      </c>
      <c r="M188" s="21" t="n">
        <v>0.5</v>
      </c>
      <c r="N188" s="52" t="inlineStr">
        <is>
          <t>Accessible design is not an add-on and not optional. Most of it is decided by you, at design time, before any code exists.</t>
        </is>
      </c>
      <c r="O188" s="52" t="inlineStr">
        <is>
          <t>• W3C: *Introduction to Web Accessibility* — https://www.w3.org/WAI/fundamentals/accessibility-intro/
• WebAIM contrast checker — https://webaim.org/resources/contrastchecker/
• The A11Y Project checklist — https://www.a11yproject.com/checklist/
• WCAG quick reference — https://www.w3.org/WAI/WCAG22/quickref/</t>
        </is>
      </c>
      <c r="P188" s="52" t="inlineStr">
        <is>
          <t>Roughly one in six people has a disability. Designing accessibly is not charity — it's the baseline of doing the job properly, and in many markets it's a legal requirement.
---
---</t>
        </is>
      </c>
      <c r="Q188" s="52" t="inlineStr">
        <is>
          <t>4.8</t>
        </is>
      </c>
      <c r="R188" s="51" t="n"/>
      <c r="S188" s="52" t="n"/>
    </row>
    <row r="189" ht="55.5" customHeight="1" s="71">
      <c r="A189" s="48" t="n"/>
      <c r="B189" s="48" t="n"/>
      <c r="C189" s="48" t="n"/>
      <c r="D189" s="48" t="n"/>
      <c r="E189" s="48" t="n"/>
      <c r="F189" s="48" t="n"/>
      <c r="G189" s="48" t="n"/>
      <c r="H189" s="22" t="n">
        <v>2</v>
      </c>
      <c r="I189" s="23" t="inlineStr">
        <is>
          <t>Write down the design-time responsibilities: colour contrast, target size, focus order, focus visibility, not using colour alone to convey meaning, label clarity, text alternatives.</t>
        </is>
      </c>
      <c r="J189" s="24" t="inlineStr">
        <is>
          <t>Done</t>
        </is>
      </c>
      <c r="K189" s="25" t="n">
        <v>46287</v>
      </c>
      <c r="L189" s="25" t="n">
        <v>46287</v>
      </c>
      <c r="M189" s="26" t="n">
        <v>0.6</v>
      </c>
      <c r="N189" s="48" t="n"/>
      <c r="O189" s="48" t="n"/>
      <c r="P189" s="48" t="n"/>
      <c r="Q189" s="48" t="n"/>
      <c r="R189" s="48" t="n"/>
      <c r="S189" s="48" t="n"/>
    </row>
    <row r="190" ht="30" customHeight="1" s="71">
      <c r="A190" s="48" t="n"/>
      <c r="B190" s="48" t="n"/>
      <c r="C190" s="48" t="n"/>
      <c r="D190" s="48" t="n"/>
      <c r="E190" s="48" t="n"/>
      <c r="F190" s="48" t="n"/>
      <c r="G190" s="48" t="n"/>
      <c r="H190" s="22" t="n">
        <v>3</v>
      </c>
      <c r="I190" s="23" t="inlineStr">
        <is>
          <t>Audit your Task 4.8 screen against every one of them and list everything that needs attention.</t>
        </is>
      </c>
      <c r="J190" s="24" t="inlineStr">
        <is>
          <t>Done</t>
        </is>
      </c>
      <c r="K190" s="25" t="n">
        <v>46288</v>
      </c>
      <c r="L190" s="25" t="n">
        <v>46288</v>
      </c>
      <c r="M190" s="26" t="n">
        <v>0.9</v>
      </c>
      <c r="N190" s="48" t="n"/>
      <c r="O190" s="48" t="n"/>
      <c r="P190" s="48" t="n"/>
      <c r="Q190" s="48" t="n"/>
      <c r="R190" s="48" t="n"/>
      <c r="S190" s="48" t="n"/>
    </row>
    <row r="191" ht="19.5" customHeight="1" s="71">
      <c r="A191" s="48" t="n"/>
      <c r="B191" s="48" t="n"/>
      <c r="C191" s="48" t="n"/>
      <c r="D191" s="48" t="n"/>
      <c r="E191" s="48" t="n"/>
      <c r="F191" s="48" t="n"/>
      <c r="G191" s="48" t="n"/>
      <c r="H191" s="22" t="n">
        <v>4</v>
      </c>
      <c r="I191" s="23" t="inlineStr">
        <is>
          <t>Fix them in Claude Design.</t>
        </is>
      </c>
      <c r="J191" s="24" t="inlineStr">
        <is>
          <t>Done</t>
        </is>
      </c>
      <c r="K191" s="25" t="n">
        <v>46288</v>
      </c>
      <c r="L191" s="25" t="n">
        <v>46288</v>
      </c>
      <c r="M191" s="26" t="n">
        <v>1.2</v>
      </c>
      <c r="N191" s="48" t="n"/>
      <c r="O191" s="48" t="n"/>
      <c r="P191" s="48" t="n"/>
      <c r="Q191" s="48" t="n"/>
      <c r="R191" s="48" t="n"/>
      <c r="S191" s="48" t="n"/>
    </row>
    <row r="192" ht="42.75" customHeight="1" s="71">
      <c r="A192" s="49" t="n"/>
      <c r="B192" s="49" t="n"/>
      <c r="C192" s="49" t="n"/>
      <c r="D192" s="49" t="n"/>
      <c r="E192" s="49" t="n"/>
      <c r="F192" s="49" t="n"/>
      <c r="G192" s="49" t="n"/>
      <c r="H192" s="27" t="n">
        <v>5</v>
      </c>
      <c r="I192" s="28" t="inlineStr">
        <is>
          <t>Ask Claude: *"What accessibility problems are invisible in a static design but appear as soon as someone uses a keyboard or screen reader?"*</t>
        </is>
      </c>
      <c r="J192" s="29" t="inlineStr">
        <is>
          <t>Done</t>
        </is>
      </c>
      <c r="K192" s="31" t="n">
        <v>46288</v>
      </c>
      <c r="L192" s="31" t="n">
        <v>46288</v>
      </c>
      <c r="M192" s="30" t="n">
        <v>0.3</v>
      </c>
      <c r="N192" s="49" t="n"/>
      <c r="O192" s="49" t="n"/>
      <c r="P192" s="49" t="n"/>
      <c r="Q192" s="49" t="n"/>
      <c r="R192" s="49" t="n"/>
      <c r="S192" s="49" t="n"/>
    </row>
    <row r="193" ht="30" customHeight="1" s="71">
      <c r="A193" s="65" t="inlineStr">
        <is>
          <t>4.10</t>
        </is>
      </c>
      <c r="B193" s="54" t="n">
        <v>4</v>
      </c>
      <c r="C193" s="64" t="inlineStr">
        <is>
          <t>Practise: Say it precisely enough to build it</t>
        </is>
      </c>
      <c r="D193" s="54" t="inlineStr">
        <is>
          <t>Practise</t>
        </is>
      </c>
      <c r="E193" s="54" t="n">
        <v>4</v>
      </c>
      <c r="F193" s="47">
        <f>IF(COUNTIF($J193:$J197,"Done")=5,"Done",IF(COUNTIF($J193:$J197,"Blocked")&gt;0,"Blocked",IF(COUNTIF($J193:$J197,"To do")=5,"Not started","In progress")))</f>
        <v/>
      </c>
      <c r="G193" s="47">
        <f>IF(SUM($M193:$M197)=0,"",SUM($M193:$M197))</f>
        <v/>
      </c>
      <c r="H193" s="17" t="n">
        <v>1</v>
      </c>
      <c r="I193" s="18" t="inlineStr">
        <is>
          <t>Pick a screen you haven't built yet — a user management table with roles, filters and a bulk action.</t>
        </is>
      </c>
      <c r="J193" s="19" t="inlineStr">
        <is>
          <t>Done</t>
        </is>
      </c>
      <c r="K193" s="20" t="n">
        <v>46288</v>
      </c>
      <c r="L193" s="20" t="n">
        <v>46288</v>
      </c>
      <c r="M193" s="21" t="n">
        <v>0.2</v>
      </c>
      <c r="N193" s="53" t="inlineStr">
        <is>
          <t>This is the skill everything else in the plan quietly depends on. When generating a screen takes thirty seconds, the bottleneck moves entirely to how precisely you can say what you want.</t>
        </is>
      </c>
      <c r="O193" s="53" t="inlineStr">
        <is>
          <t>• Your prompt library from Task 1.9
• Your specification habits from Task 4.7
• Claude Design — https://claude.ai/design</t>
        </is>
      </c>
      <c r="P193" s="53" t="inlineStr">
        <is>
          <t>The artefact here is the three screens side by side, not the brief. If your description is growing into a document, that's the signal to stop and sharpen instead of adding. The best briefs get shorter and more precise, not longer.
---
---</t>
        </is>
      </c>
      <c r="Q193" s="53" t="inlineStr">
        <is>
          <t>1.9, 4.7</t>
        </is>
      </c>
      <c r="R193" s="54" t="n"/>
      <c r="S193" s="53" t="n"/>
    </row>
    <row r="194" ht="42.75" customHeight="1" s="71">
      <c r="A194" s="48" t="n"/>
      <c r="B194" s="48" t="n"/>
      <c r="C194" s="48" t="n"/>
      <c r="D194" s="48" t="n"/>
      <c r="E194" s="48" t="n"/>
      <c r="F194" s="48" t="n"/>
      <c r="G194" s="48" t="n"/>
      <c r="H194" s="22" t="n">
        <v>2</v>
      </c>
      <c r="I194" s="23" t="inlineStr">
        <is>
          <t>Describe it in about ten lines: structure, hierarchy, which tokens, key states, and the one thing that matters most. Ten lines, not a document.</t>
        </is>
      </c>
      <c r="J194" s="24" t="inlineStr">
        <is>
          <t>Done</t>
        </is>
      </c>
      <c r="K194" s="25" t="n">
        <v>46288</v>
      </c>
      <c r="L194" s="25" t="n">
        <v>46288</v>
      </c>
      <c r="M194" s="26" t="n">
        <v>0.5</v>
      </c>
      <c r="N194" s="48" t="n"/>
      <c r="O194" s="48" t="n"/>
      <c r="P194" s="48" t="n"/>
      <c r="Q194" s="48" t="n"/>
      <c r="R194" s="48" t="n"/>
      <c r="S194" s="48" t="n"/>
    </row>
    <row r="195" ht="19.5" customHeight="1" s="71">
      <c r="A195" s="48" t="n"/>
      <c r="B195" s="48" t="n"/>
      <c r="C195" s="48" t="n"/>
      <c r="D195" s="48" t="n"/>
      <c r="E195" s="48" t="n"/>
      <c r="F195" s="48" t="n"/>
      <c r="G195" s="48" t="n"/>
      <c r="H195" s="22" t="n">
        <v>3</v>
      </c>
      <c r="I195" s="23" t="inlineStr">
        <is>
          <t>Generate it cold in Claude Design. Don't refine it.</t>
        </is>
      </c>
      <c r="J195" s="24" t="inlineStr">
        <is>
          <t>Done</t>
        </is>
      </c>
      <c r="K195" s="25" t="n">
        <v>46288</v>
      </c>
      <c r="L195" s="25" t="n">
        <v>46288</v>
      </c>
      <c r="M195" s="26" t="n">
        <v>0.2</v>
      </c>
      <c r="N195" s="48" t="n"/>
      <c r="O195" s="48" t="n"/>
      <c r="P195" s="48" t="n"/>
      <c r="Q195" s="48" t="n"/>
      <c r="R195" s="48" t="n"/>
      <c r="S195" s="48" t="n"/>
    </row>
    <row r="196" ht="30" customHeight="1" s="71">
      <c r="A196" s="48" t="n"/>
      <c r="B196" s="48" t="n"/>
      <c r="C196" s="48" t="n"/>
      <c r="D196" s="48" t="n"/>
      <c r="E196" s="48" t="n"/>
      <c r="F196" s="48" t="n"/>
      <c r="G196" s="48" t="n"/>
      <c r="H196" s="22" t="n">
        <v>4</v>
      </c>
      <c r="I196" s="23" t="inlineStr">
        <is>
          <t>Put what you got next to what you meant, and find the gaps. For each gap, work out which words caused it.</t>
        </is>
      </c>
      <c r="J196" s="24" t="inlineStr">
        <is>
          <t>Done</t>
        </is>
      </c>
      <c r="K196" s="25" t="n">
        <v>46288</v>
      </c>
      <c r="L196" s="25" t="n">
        <v>46288</v>
      </c>
      <c r="M196" s="26" t="n">
        <v>0.4</v>
      </c>
      <c r="N196" s="48" t="n"/>
      <c r="O196" s="48" t="n"/>
      <c r="P196" s="48" t="n"/>
      <c r="Q196" s="48" t="n"/>
      <c r="R196" s="48" t="n"/>
      <c r="S196" s="48" t="n"/>
    </row>
    <row r="197" ht="30" customHeight="1" s="71">
      <c r="A197" s="49" t="n"/>
      <c r="B197" s="49" t="n"/>
      <c r="C197" s="49" t="n"/>
      <c r="D197" s="49" t="n"/>
      <c r="E197" s="49" t="n"/>
      <c r="F197" s="49" t="n"/>
      <c r="G197" s="49" t="n"/>
      <c r="H197" s="27" t="n">
        <v>5</v>
      </c>
      <c r="I197" s="28" t="inlineStr">
        <is>
          <t>Rewrite those lines — still about ten — and regenerate from scratch. Do this three times, keeping all three screens.</t>
        </is>
      </c>
      <c r="J197" s="29" t="inlineStr">
        <is>
          <t>Done</t>
        </is>
      </c>
      <c r="K197" s="31" t="n">
        <v>46288</v>
      </c>
      <c r="L197" s="31" t="n">
        <v>46288</v>
      </c>
      <c r="M197" s="30" t="n">
        <v>0.5</v>
      </c>
      <c r="N197" s="49" t="n"/>
      <c r="O197" s="49" t="n"/>
      <c r="P197" s="49" t="n"/>
      <c r="Q197" s="49" t="n"/>
      <c r="R197" s="49" t="n"/>
      <c r="S197" s="49" t="n"/>
    </row>
    <row r="198" ht="25.5" customHeight="1" s="71">
      <c r="A198" s="61" t="inlineStr">
        <is>
          <t xml:space="preserve">  Module 5 · Delivery — 40 hrs · 13 tasks</t>
        </is>
      </c>
      <c r="B198" s="62" t="n"/>
      <c r="C198" s="62" t="n"/>
      <c r="D198" s="62" t="n"/>
      <c r="E198" s="62" t="n"/>
      <c r="F198" s="62" t="n"/>
      <c r="G198" s="62" t="n"/>
      <c r="H198" s="62" t="n"/>
      <c r="I198" s="62" t="n"/>
      <c r="J198" s="62" t="n"/>
      <c r="K198" s="62" t="n"/>
      <c r="L198" s="62" t="n"/>
      <c r="M198" s="62" t="n"/>
      <c r="N198" s="62" t="n"/>
      <c r="O198" s="62" t="n"/>
      <c r="P198" s="62" t="n"/>
      <c r="Q198" s="62" t="n"/>
      <c r="R198" s="62" t="n"/>
      <c r="S198" s="63" t="n"/>
    </row>
    <row r="199" ht="18" customHeight="1" s="71">
      <c r="A199" s="59" t="inlineStr">
        <is>
          <t>Goal</t>
        </is>
      </c>
      <c r="B199" s="58" t="n"/>
      <c r="C199" s="56" t="inlineStr">
        <is>
          <t>I can run work through a delivery team — stories, a board, a roadmap, and the writing that holds it together.</t>
        </is>
      </c>
      <c r="D199" s="57" t="n"/>
      <c r="E199" s="57" t="n"/>
      <c r="F199" s="57" t="n"/>
      <c r="G199" s="57" t="n"/>
      <c r="H199" s="57" t="n"/>
      <c r="I199" s="57" t="n"/>
      <c r="J199" s="57" t="n"/>
      <c r="K199" s="57" t="n"/>
      <c r="L199" s="57" t="n"/>
      <c r="M199" s="57" t="n"/>
      <c r="N199" s="57" t="n"/>
      <c r="O199" s="57" t="n"/>
      <c r="P199" s="57" t="n"/>
      <c r="Q199" s="57" t="n"/>
      <c r="R199" s="57" t="n"/>
      <c r="S199" s="58" t="n"/>
    </row>
    <row r="200" ht="18" customHeight="1" s="71">
      <c r="A200" s="59" t="inlineStr">
        <is>
          <t>About</t>
        </is>
      </c>
      <c r="B200" s="58" t="n"/>
      <c r="C200" s="56" t="inlineStr">
        <is>
          <t>This is the operational core of the role. By the end you'll have written real stories, run a real board, built a roadmap you can defend, and practised the writing that carries decisions to people who weren't in the room.
---</t>
        </is>
      </c>
      <c r="D200" s="57" t="n"/>
      <c r="E200" s="57" t="n"/>
      <c r="F200" s="57" t="n"/>
      <c r="G200" s="57" t="n"/>
      <c r="H200" s="57" t="n"/>
      <c r="I200" s="57" t="n"/>
      <c r="J200" s="57" t="n"/>
      <c r="K200" s="57" t="n"/>
      <c r="L200" s="57" t="n"/>
      <c r="M200" s="57" t="n"/>
      <c r="N200" s="57" t="n"/>
      <c r="O200" s="57" t="n"/>
      <c r="P200" s="57" t="n"/>
      <c r="Q200" s="57" t="n"/>
      <c r="R200" s="57" t="n"/>
      <c r="S200" s="58" t="n"/>
    </row>
    <row r="201" ht="18" customHeight="1" s="71">
      <c r="A201" s="59" t="inlineStr">
        <is>
          <t>Checkpoint</t>
        </is>
      </c>
      <c r="B201" s="58" t="n"/>
      <c r="C201" s="56" t="inlineStr">
        <is>
          <t>Bring: your Jira board, three bug reports, requirements from the live elicitation, ten user stories with acceptance criteria and estimates, both prioritisation results, your Now/Next/Later roadmap, your three pieces of stakeholder writing, and feedback from your presentation.
---</t>
        </is>
      </c>
      <c r="D201" s="57" t="n"/>
      <c r="E201" s="57" t="n"/>
      <c r="F201" s="57" t="n"/>
      <c r="G201" s="57" t="n"/>
      <c r="H201" s="57" t="n"/>
      <c r="I201" s="57" t="n"/>
      <c r="J201" s="57" t="n"/>
      <c r="K201" s="57" t="n"/>
      <c r="L201" s="57" t="n"/>
      <c r="M201" s="57" t="n"/>
      <c r="N201" s="57" t="n"/>
      <c r="O201" s="57" t="n"/>
      <c r="P201" s="57" t="n"/>
      <c r="Q201" s="57" t="n"/>
      <c r="R201" s="57" t="n"/>
      <c r="S201" s="58" t="n"/>
    </row>
    <row r="202" ht="19.5" customHeight="1" s="71">
      <c r="A202" s="60" t="inlineStr">
        <is>
          <t>5.1</t>
        </is>
      </c>
      <c r="B202" s="51" t="n">
        <v>5</v>
      </c>
      <c r="C202" s="50" t="inlineStr">
        <is>
          <t>Learn: The basics of good project management</t>
        </is>
      </c>
      <c r="D202" s="51" t="inlineStr">
        <is>
          <t>Learn</t>
        </is>
      </c>
      <c r="E202" s="51" t="n">
        <v>2</v>
      </c>
      <c r="F202" s="55">
        <f>IF(COUNTIF($J202:$J206,"Done")=5,"Done",IF(COUNTIF($J202:$J206,"Blocked")&gt;0,"Blocked",IF(COUNTIF($J202:$J206,"To do")=5,"Not started","In progress")))</f>
        <v/>
      </c>
      <c r="G202" s="55">
        <f>IF(SUM($M202:$M206)=0,"",SUM($M202:$M206))</f>
        <v/>
      </c>
      <c r="H202" s="17" t="n">
        <v>1</v>
      </c>
      <c r="I202" s="18" t="inlineStr">
        <is>
          <t>Watch the video and take structured notes.</t>
        </is>
      </c>
      <c r="J202" s="19" t="inlineStr">
        <is>
          <t>Done</t>
        </is>
      </c>
      <c r="K202" s="20" t="n">
        <v>46288</v>
      </c>
      <c r="L202" s="20" t="n">
        <v>46288</v>
      </c>
      <c r="M202" s="21" t="n">
        <v>0.5</v>
      </c>
      <c r="N202" s="52" t="inlineStr">
        <is>
          <t>The foundational vocabulary — scope, timeline, resources, risk, stakeholders — and how they trade against each other.</t>
        </is>
      </c>
      <c r="O202" s="52" t="inlineStr">
        <is>
          <t>• *The Basics of Good Project Management* — https://www.youtube.com/watch?v=5d16JwWwjKo</t>
        </is>
      </c>
      <c r="P202" s="52" t="inlineStr">
        <is>
          <t>The single most useful idea here: when someone adds scope, something else must give. Your job is to say that out loud, early, and kindly.
---
---</t>
        </is>
      </c>
      <c r="Q202" s="52" t="inlineStr">
        <is>
          <t>—</t>
        </is>
      </c>
      <c r="R202" s="51" t="n"/>
      <c r="S202" s="52" t="n"/>
    </row>
    <row r="203" ht="42.75" customHeight="1" s="71">
      <c r="A203" s="48" t="n"/>
      <c r="B203" s="48" t="n"/>
      <c r="C203" s="48" t="n"/>
      <c r="D203" s="48" t="n"/>
      <c r="E203" s="48" t="n"/>
      <c r="F203" s="48" t="n"/>
      <c r="G203" s="48" t="n"/>
      <c r="H203" s="22" t="n">
        <v>2</v>
      </c>
      <c r="I203" s="23" t="inlineStr">
        <is>
          <t>Draw the iron triangle — scope, time, cost — and write one sentence on what happens when a client wants to change each.</t>
        </is>
      </c>
      <c r="J203" s="24" t="inlineStr">
        <is>
          <t>Done</t>
        </is>
      </c>
      <c r="K203" s="25" t="n">
        <v>46288</v>
      </c>
      <c r="L203" s="25" t="n">
        <v>46288</v>
      </c>
      <c r="M203" s="26" t="n">
        <v>0.3</v>
      </c>
      <c r="N203" s="48" t="n"/>
      <c r="O203" s="48" t="n"/>
      <c r="P203" s="48" t="n"/>
      <c r="Q203" s="48" t="n"/>
      <c r="R203" s="48" t="n"/>
      <c r="S203" s="48" t="n"/>
    </row>
    <row r="204" ht="30" customHeight="1" s="71">
      <c r="A204" s="48" t="n"/>
      <c r="B204" s="48" t="n"/>
      <c r="C204" s="48" t="n"/>
      <c r="D204" s="48" t="n"/>
      <c r="E204" s="48" t="n"/>
      <c r="F204" s="48" t="n"/>
      <c r="G204" s="48" t="n"/>
      <c r="H204" s="22" t="n">
        <v>3</v>
      </c>
      <c r="I204" s="23" t="inlineStr">
        <is>
          <t>Define in your own words: milestone, dependency, critical path, stakeholder, risk register.</t>
        </is>
      </c>
      <c r="J204" s="24" t="inlineStr">
        <is>
          <t>Done</t>
        </is>
      </c>
      <c r="K204" s="25" t="n">
        <v>46288</v>
      </c>
      <c r="L204" s="25" t="n">
        <v>46288</v>
      </c>
      <c r="M204" s="26" t="n">
        <v>0.4</v>
      </c>
      <c r="N204" s="48" t="n"/>
      <c r="O204" s="48" t="n"/>
      <c r="P204" s="48" t="n"/>
      <c r="Q204" s="48" t="n"/>
      <c r="R204" s="48" t="n"/>
      <c r="S204" s="48" t="n"/>
    </row>
    <row r="205" ht="55.5" customHeight="1" s="71">
      <c r="A205" s="48" t="n"/>
      <c r="B205" s="48" t="n"/>
      <c r="C205" s="48" t="n"/>
      <c r="D205" s="48" t="n"/>
      <c r="E205" s="48" t="n"/>
      <c r="F205" s="48" t="n"/>
      <c r="G205" s="48" t="n"/>
      <c r="H205" s="22" t="n">
        <v>4</v>
      </c>
      <c r="I205" s="23" t="inlineStr">
        <is>
          <t>Ask Claude: *"I'm a junior product manager. For each of these project management concepts, tell me specifically how it affects my day-to-day work rather than just what it means."*</t>
        </is>
      </c>
      <c r="J205" s="24" t="inlineStr">
        <is>
          <t>Done</t>
        </is>
      </c>
      <c r="K205" s="25" t="n">
        <v>46288</v>
      </c>
      <c r="L205" s="25" t="n">
        <v>46288</v>
      </c>
      <c r="M205" s="26" t="n">
        <v>0.3</v>
      </c>
      <c r="N205" s="48" t="n"/>
      <c r="O205" s="48" t="n"/>
      <c r="P205" s="48" t="n"/>
      <c r="Q205" s="48" t="n"/>
      <c r="R205" s="48" t="n"/>
      <c r="S205" s="48" t="n"/>
    </row>
    <row r="206" ht="30" customHeight="1" s="71">
      <c r="A206" s="49" t="n"/>
      <c r="B206" s="49" t="n"/>
      <c r="C206" s="49" t="n"/>
      <c r="D206" s="49" t="n"/>
      <c r="E206" s="49" t="n"/>
      <c r="F206" s="49" t="n"/>
      <c r="G206" s="49" t="n"/>
      <c r="H206" s="27" t="n">
        <v>5</v>
      </c>
      <c r="I206" s="28" t="inlineStr">
        <is>
          <t>Note in your journal the one concept here you expect to matter most in your first project.</t>
        </is>
      </c>
      <c r="J206" s="29" t="inlineStr">
        <is>
          <t>Done</t>
        </is>
      </c>
      <c r="K206" s="31" t="n">
        <v>46288</v>
      </c>
      <c r="L206" s="31" t="n">
        <v>46288</v>
      </c>
      <c r="M206" s="30" t="n">
        <v>0.2</v>
      </c>
      <c r="N206" s="49" t="n"/>
      <c r="O206" s="49" t="n"/>
      <c r="P206" s="49" t="n"/>
      <c r="Q206" s="49" t="n"/>
      <c r="R206" s="49" t="n"/>
      <c r="S206" s="49" t="n"/>
    </row>
    <row r="207" ht="19.5" customHeight="1" s="71">
      <c r="A207" s="65" t="inlineStr">
        <is>
          <t>5.2</t>
        </is>
      </c>
      <c r="B207" s="54" t="n">
        <v>5</v>
      </c>
      <c r="C207" s="64" t="inlineStr">
        <is>
          <t>Learn: Agile and Scrum</t>
        </is>
      </c>
      <c r="D207" s="54" t="inlineStr">
        <is>
          <t>Learn</t>
        </is>
      </c>
      <c r="E207" s="54" t="n">
        <v>3</v>
      </c>
      <c r="F207" s="47">
        <f>IF(COUNTIF($J207:$J211,"Done")=5,"Done",IF(COUNTIF($J207:$J211,"Blocked")&gt;0,"Blocked",IF(COUNTIF($J207:$J211,"To do")=5,"Not started","In progress")))</f>
        <v/>
      </c>
      <c r="G207" s="47">
        <f>IF(SUM($M207:$M211)=0,"",SUM($M207:$M211))</f>
        <v/>
      </c>
      <c r="H207" s="17" t="n">
        <v>1</v>
      </c>
      <c r="I207" s="18" t="inlineStr">
        <is>
          <t>Watch the video, then read the Atlassian Scrum guide.</t>
        </is>
      </c>
      <c r="J207" s="19" t="inlineStr">
        <is>
          <t>Done</t>
        </is>
      </c>
      <c r="K207" s="20" t="n">
        <v>46289</v>
      </c>
      <c r="L207" s="20" t="n">
        <v>46289</v>
      </c>
      <c r="M207" s="21" t="n">
        <v>0.6</v>
      </c>
      <c r="N207" s="53" t="inlineStr">
        <is>
          <t>Nearly every project you'll work on runs some version of Agile. Learn what it actually means beyond the buzzword.</t>
        </is>
      </c>
      <c r="O207" s="53" t="inlineStr">
        <is>
          <t>• *What is Agile?* — https://www.youtube.com/watch?v=WjwEh15M5Rw
• Atlassian Agile Coach — https://www.atlassian.com/agile
• Atlassian: *Scrum* — https://www.atlassian.com/agile/scrum
• The Scrum Guide — https://scrumguides.org/</t>
        </is>
      </c>
      <c r="P207" s="53" t="inlineStr">
        <is>
          <t>Standups are for surfacing blockers, not for reporting to a manager. Say what's in your way, briefly, and move on.
---
---</t>
        </is>
      </c>
      <c r="Q207" s="53" t="inlineStr">
        <is>
          <t>—</t>
        </is>
      </c>
      <c r="R207" s="54" t="n"/>
      <c r="S207" s="53" t="n"/>
    </row>
    <row r="208" ht="42.75" customHeight="1" s="71">
      <c r="A208" s="48" t="n"/>
      <c r="B208" s="48" t="n"/>
      <c r="C208" s="48" t="n"/>
      <c r="D208" s="48" t="n"/>
      <c r="E208" s="48" t="n"/>
      <c r="F208" s="48" t="n"/>
      <c r="G208" s="48" t="n"/>
      <c r="H208" s="22" t="n">
        <v>2</v>
      </c>
      <c r="I208" s="23" t="inlineStr">
        <is>
          <t>Write down each ceremony — sprint planning, daily standup, review, retrospective, backlog refinement — with its purpose, who attends, and how long it should take.</t>
        </is>
      </c>
      <c r="J208" s="24" t="inlineStr">
        <is>
          <t>Done</t>
        </is>
      </c>
      <c r="K208" s="25" t="n">
        <v>46289</v>
      </c>
      <c r="L208" s="25" t="n">
        <v>46289</v>
      </c>
      <c r="M208" s="26" t="n">
        <v>0.6</v>
      </c>
      <c r="N208" s="48" t="n"/>
      <c r="O208" s="48" t="n"/>
      <c r="P208" s="48" t="n"/>
      <c r="Q208" s="48" t="n"/>
      <c r="R208" s="48" t="n"/>
      <c r="S208" s="48" t="n"/>
    </row>
    <row r="209" ht="30" customHeight="1" s="71">
      <c r="A209" s="48" t="n"/>
      <c r="B209" s="48" t="n"/>
      <c r="C209" s="48" t="n"/>
      <c r="D209" s="48" t="n"/>
      <c r="E209" s="48" t="n"/>
      <c r="F209" s="48" t="n"/>
      <c r="G209" s="48" t="n"/>
      <c r="H209" s="22" t="n">
        <v>3</v>
      </c>
      <c r="I209" s="23" t="inlineStr">
        <is>
          <t>Define the roles and the artefacts (product backlog, sprint backlog, increment).</t>
        </is>
      </c>
      <c r="J209" s="24" t="inlineStr">
        <is>
          <t>Done</t>
        </is>
      </c>
      <c r="K209" s="25" t="n">
        <v>46289</v>
      </c>
      <c r="L209" s="25" t="n">
        <v>46289</v>
      </c>
      <c r="M209" s="26" t="n">
        <v>0.5</v>
      </c>
      <c r="N209" s="48" t="n"/>
      <c r="O209" s="48" t="n"/>
      <c r="P209" s="48" t="n"/>
      <c r="Q209" s="48" t="n"/>
      <c r="R209" s="48" t="n"/>
      <c r="S209" s="48" t="n"/>
    </row>
    <row r="210" ht="30" customHeight="1" s="71">
      <c r="A210" s="48" t="n"/>
      <c r="B210" s="48" t="n"/>
      <c r="C210" s="48" t="n"/>
      <c r="D210" s="48" t="n"/>
      <c r="E210" s="48" t="n"/>
      <c r="F210" s="48" t="n"/>
      <c r="G210" s="48" t="n"/>
      <c r="H210" s="22" t="n">
        <v>4</v>
      </c>
      <c r="I210" s="23" t="inlineStr">
        <is>
          <t>Write down what you own in each ceremony, and what you should be asking. Be specific.</t>
        </is>
      </c>
      <c r="J210" s="24" t="inlineStr">
        <is>
          <t>Done</t>
        </is>
      </c>
      <c r="K210" s="25" t="n">
        <v>46289</v>
      </c>
      <c r="L210" s="25" t="n">
        <v>46289</v>
      </c>
      <c r="M210" s="26" t="n">
        <v>0.7</v>
      </c>
      <c r="N210" s="48" t="n"/>
      <c r="O210" s="48" t="n"/>
      <c r="P210" s="48" t="n"/>
      <c r="Q210" s="48" t="n"/>
      <c r="R210" s="48" t="n"/>
      <c r="S210" s="48" t="n"/>
    </row>
    <row r="211" ht="42.75" customHeight="1" s="71">
      <c r="A211" s="49" t="n"/>
      <c r="B211" s="49" t="n"/>
      <c r="C211" s="49" t="n"/>
      <c r="D211" s="49" t="n"/>
      <c r="E211" s="49" t="n"/>
      <c r="F211" s="49" t="n"/>
      <c r="G211" s="49" t="n"/>
      <c r="H211" s="27" t="n">
        <v>5</v>
      </c>
      <c r="I211" s="28" t="inlineStr">
        <is>
          <t>Ask Claude: *"What does a product manager actually do during sprint planning and backlog refinement? Give me the questions I should be asking in each."*</t>
        </is>
      </c>
      <c r="J211" s="29" t="inlineStr">
        <is>
          <t>Done</t>
        </is>
      </c>
      <c r="K211" s="31" t="n">
        <v>46289</v>
      </c>
      <c r="L211" s="31" t="n">
        <v>46289</v>
      </c>
      <c r="M211" s="30" t="n">
        <v>0.4</v>
      </c>
      <c r="N211" s="49" t="n"/>
      <c r="O211" s="49" t="n"/>
      <c r="P211" s="49" t="n"/>
      <c r="Q211" s="49" t="n"/>
      <c r="R211" s="49" t="n"/>
      <c r="S211" s="49" t="n"/>
    </row>
    <row r="212" ht="19.5" customHeight="1" s="71">
      <c r="A212" s="60" t="inlineStr">
        <is>
          <t>5.3</t>
        </is>
      </c>
      <c r="B212" s="51" t="n">
        <v>5</v>
      </c>
      <c r="C212" s="50" t="inlineStr">
        <is>
          <t>Learn: The software development lifecycle</t>
        </is>
      </c>
      <c r="D212" s="51" t="inlineStr">
        <is>
          <t>Learn</t>
        </is>
      </c>
      <c r="E212" s="51" t="n">
        <v>2</v>
      </c>
      <c r="F212" s="55">
        <f>IF(COUNTIF($J212:$J216,"Done")=5,"Done",IF(COUNTIF($J212:$J216,"Blocked")&gt;0,"Blocked",IF(COUNTIF($J212:$J216,"To do")=5,"Not started","In progress")))</f>
        <v/>
      </c>
      <c r="G212" s="55">
        <f>IF(SUM($M212:$M216)=0,"",SUM($M212:$M216))</f>
        <v/>
      </c>
      <c r="H212" s="17" t="n">
        <v>1</v>
      </c>
      <c r="I212" s="18" t="inlineStr">
        <is>
          <t>Watch the video.</t>
        </is>
      </c>
      <c r="J212" s="19" t="inlineStr">
        <is>
          <t>Done</t>
        </is>
      </c>
      <c r="K212" s="20" t="n">
        <v>46289</v>
      </c>
      <c r="L212" s="20" t="n">
        <v>46289</v>
      </c>
      <c r="M212" s="21" t="n">
        <v>0.3</v>
      </c>
      <c r="N212" s="52" t="inlineStr">
        <is>
          <t>The end-to-end shape of how software gets built, so you know where design sits and what happens downstream of you.</t>
        </is>
      </c>
      <c r="O212" s="52" t="inlineStr">
        <is>
          <t>• *SDLC* — https://www.youtube.com/watch?v=i-QyW8D3ei0</t>
        </is>
      </c>
      <c r="P212" s="52" t="inlineStr">
        <is>
          <t>The answer to that last question is usually "testing and release". Staying involved past handoff is one of the most valuable things a product manager can do — it's where good intentions turn into a good shipped product.
---
---</t>
        </is>
      </c>
      <c r="Q212" s="52" t="inlineStr">
        <is>
          <t>—</t>
        </is>
      </c>
      <c r="R212" s="51" t="n"/>
      <c r="S212" s="52" t="n"/>
    </row>
    <row r="213" ht="30" customHeight="1" s="71">
      <c r="A213" s="48" t="n"/>
      <c r="B213" s="48" t="n"/>
      <c r="C213" s="48" t="n"/>
      <c r="D213" s="48" t="n"/>
      <c r="E213" s="48" t="n"/>
      <c r="F213" s="48" t="n"/>
      <c r="G213" s="48" t="n"/>
      <c r="H213" s="22" t="n">
        <v>2</v>
      </c>
      <c r="I213" s="23" t="inlineStr">
        <is>
          <t>Draw the SDLC phases and mark exactly where product work happens — you'll find it's more places than you expected.</t>
        </is>
      </c>
      <c r="J213" s="24" t="inlineStr">
        <is>
          <t>Done</t>
        </is>
      </c>
      <c r="K213" s="25" t="n">
        <v>46289</v>
      </c>
      <c r="L213" s="25" t="n">
        <v>46289</v>
      </c>
      <c r="M213" s="26" t="n">
        <v>0.5</v>
      </c>
      <c r="N213" s="48" t="n"/>
      <c r="O213" s="48" t="n"/>
      <c r="P213" s="48" t="n"/>
      <c r="Q213" s="48" t="n"/>
      <c r="R213" s="48" t="n"/>
      <c r="S213" s="48" t="n"/>
    </row>
    <row r="214" ht="30" customHeight="1" s="71">
      <c r="A214" s="48" t="n"/>
      <c r="B214" s="48" t="n"/>
      <c r="C214" s="48" t="n"/>
      <c r="D214" s="48" t="n"/>
      <c r="E214" s="48" t="n"/>
      <c r="F214" s="48" t="n"/>
      <c r="G214" s="48" t="n"/>
      <c r="H214" s="22" t="n">
        <v>3</v>
      </c>
      <c r="I214" s="23" t="inlineStr">
        <is>
          <t>Write one line per phase on what a product manager contributes or needs from it.</t>
        </is>
      </c>
      <c r="J214" s="24" t="inlineStr">
        <is>
          <t>Done</t>
        </is>
      </c>
      <c r="K214" s="25" t="n">
        <v>46289</v>
      </c>
      <c r="L214" s="25" t="n">
        <v>46289</v>
      </c>
      <c r="M214" s="26" t="n">
        <v>0.4</v>
      </c>
      <c r="N214" s="48" t="n"/>
      <c r="O214" s="48" t="n"/>
      <c r="P214" s="48" t="n"/>
      <c r="Q214" s="48" t="n"/>
      <c r="R214" s="48" t="n"/>
      <c r="S214" s="48" t="n"/>
    </row>
    <row r="215" ht="30" customHeight="1" s="71">
      <c r="A215" s="48" t="n"/>
      <c r="B215" s="48" t="n"/>
      <c r="C215" s="48" t="n"/>
      <c r="D215" s="48" t="n"/>
      <c r="E215" s="48" t="n"/>
      <c r="F215" s="48" t="n"/>
      <c r="G215" s="48" t="n"/>
      <c r="H215" s="22" t="n">
        <v>4</v>
      </c>
      <c r="I215" s="23" t="inlineStr">
        <is>
          <t>Compare waterfall and Agile SDLC in a short table, noting when each makes sense.</t>
        </is>
      </c>
      <c r="J215" s="24" t="inlineStr">
        <is>
          <t>Done</t>
        </is>
      </c>
      <c r="K215" s="25" t="n">
        <v>46289</v>
      </c>
      <c r="L215" s="25" t="n">
        <v>46289</v>
      </c>
      <c r="M215" s="26" t="n">
        <v>0.5</v>
      </c>
      <c r="N215" s="48" t="n"/>
      <c r="O215" s="48" t="n"/>
      <c r="P215" s="48" t="n"/>
      <c r="Q215" s="48" t="n"/>
      <c r="R215" s="48" t="n"/>
      <c r="S215" s="48" t="n"/>
    </row>
    <row r="216" ht="42.75" customHeight="1" s="71">
      <c r="A216" s="49" t="n"/>
      <c r="B216" s="49" t="n"/>
      <c r="C216" s="49" t="n"/>
      <c r="D216" s="49" t="n"/>
      <c r="E216" s="49" t="n"/>
      <c r="F216" s="49" t="n"/>
      <c r="G216" s="49" t="n"/>
      <c r="H216" s="27" t="n">
        <v>5</v>
      </c>
      <c r="I216" s="28" t="inlineStr">
        <is>
          <t>Ask Claude: *"Which SDLC phases do product managers typically stop paying attention to, and what goes wrong as a result?"*</t>
        </is>
      </c>
      <c r="J216" s="29" t="inlineStr">
        <is>
          <t>Done</t>
        </is>
      </c>
      <c r="K216" s="31" t="n">
        <v>46289</v>
      </c>
      <c r="L216" s="31" t="n">
        <v>46289</v>
      </c>
      <c r="M216" s="30" t="n">
        <v>0.3</v>
      </c>
      <c r="N216" s="49" t="n"/>
      <c r="O216" s="49" t="n"/>
      <c r="P216" s="49" t="n"/>
      <c r="Q216" s="49" t="n"/>
      <c r="R216" s="49" t="n"/>
      <c r="S216" s="49" t="n"/>
    </row>
    <row r="217" ht="19.5" customHeight="1" s="71">
      <c r="A217" s="65" t="inlineStr">
        <is>
          <t>5.4</t>
        </is>
      </c>
      <c r="B217" s="54" t="n">
        <v>5</v>
      </c>
      <c r="C217" s="64" t="inlineStr">
        <is>
          <t>Practise: Jira, hands on</t>
        </is>
      </c>
      <c r="D217" s="54" t="inlineStr">
        <is>
          <t>Practise</t>
        </is>
      </c>
      <c r="E217" s="54" t="n">
        <v>3</v>
      </c>
      <c r="F217" s="47">
        <f>IF(COUNTIF($J217:$J221,"Done")=5,"Done",IF(COUNTIF($J217:$J221,"Blocked")&gt;0,"Blocked",IF(COUNTIF($J217:$J221,"To do")=5,"Not started","In progress")))</f>
        <v/>
      </c>
      <c r="G217" s="47">
        <f>IF(SUM($M217:$M221)=0,"",SUM($M217:$M221))</f>
        <v/>
      </c>
      <c r="H217" s="17" t="n">
        <v>1</v>
      </c>
      <c r="I217" s="18" t="inlineStr">
        <is>
          <t>Watch the tutorial and skim the Atlassian guides.</t>
        </is>
      </c>
      <c r="J217" s="19" t="inlineStr">
        <is>
          <t>Done</t>
        </is>
      </c>
      <c r="K217" s="20" t="n">
        <v>46289</v>
      </c>
      <c r="L217" s="20" t="n">
        <v>46289</v>
      </c>
      <c r="M217" s="21" t="n">
        <v>0.5</v>
      </c>
      <c r="N217" s="53" t="inlineStr">
        <is>
          <t>Jira is where our work lives. Learn to use it properly, not just to move your own cards.</t>
        </is>
      </c>
      <c r="O217" s="53" t="inlineStr">
        <is>
          <t>• *Jira tutorial* — https://www.youtube.com/watch?v=GWxMTvRGIpc
• Atlassian project management — https://www.atlassian.com/project-management-software
• Introducing Jira Work Management — https://www.atlassian.com/blog/announcements/introducing-jira-work-management
• Atlassian Jira guides — https://www.atlassian.com/software/jira/guides</t>
        </is>
      </c>
      <c r="P217" s="53" t="inlineStr">
        <is>
          <t>A precise ticket title is a gift to the whole team. "Fix the page" leaves people guessing; "Order table doesn't preserve filter state after refresh" tells them everything they need.
---
---</t>
        </is>
      </c>
      <c r="Q217" s="53" t="inlineStr">
        <is>
          <t>—</t>
        </is>
      </c>
      <c r="R217" s="54" t="n"/>
      <c r="S217" s="53" t="n"/>
    </row>
    <row r="218" ht="30" customHeight="1" s="71">
      <c r="A218" s="48" t="n"/>
      <c r="B218" s="48" t="n"/>
      <c r="C218" s="48" t="n"/>
      <c r="D218" s="48" t="n"/>
      <c r="E218" s="48" t="n"/>
      <c r="F218" s="48" t="n"/>
      <c r="G218" s="48" t="n"/>
      <c r="H218" s="22" t="n">
        <v>2</v>
      </c>
      <c r="I218" s="23" t="inlineStr">
        <is>
          <t>Ask your mentor for access to a sandbox project, or create a free personal Jira site.</t>
        </is>
      </c>
      <c r="J218" s="24" t="inlineStr">
        <is>
          <t>Done</t>
        </is>
      </c>
      <c r="K218" s="25" t="n">
        <v>46289</v>
      </c>
      <c r="L218" s="25" t="n">
        <v>46289</v>
      </c>
      <c r="M218" s="26" t="n">
        <v>0.5</v>
      </c>
      <c r="N218" s="48" t="n"/>
      <c r="O218" s="48" t="n"/>
      <c r="P218" s="48" t="n"/>
      <c r="Q218" s="48" t="n"/>
      <c r="R218" s="48" t="n"/>
      <c r="S218" s="48" t="n"/>
    </row>
    <row r="219" ht="30" customHeight="1" s="71">
      <c r="A219" s="48" t="n"/>
      <c r="B219" s="48" t="n"/>
      <c r="C219" s="48" t="n"/>
      <c r="D219" s="48" t="n"/>
      <c r="E219" s="48" t="n"/>
      <c r="F219" s="48" t="n"/>
      <c r="G219" s="48" t="n"/>
      <c r="H219" s="22" t="n">
        <v>3</v>
      </c>
      <c r="I219" s="23" t="inlineStr">
        <is>
          <t>Build a board for Brief B (Harvest Hub): create an epic, five stories under it, and three subtasks under one story.</t>
        </is>
      </c>
      <c r="J219" s="24" t="inlineStr">
        <is>
          <t>Done</t>
        </is>
      </c>
      <c r="K219" s="25" t="n">
        <v>46290</v>
      </c>
      <c r="L219" s="25" t="n">
        <v>46290</v>
      </c>
      <c r="M219" s="26" t="n">
        <v>1.5</v>
      </c>
      <c r="N219" s="48" t="n"/>
      <c r="O219" s="48" t="n"/>
      <c r="P219" s="48" t="n"/>
      <c r="Q219" s="48" t="n"/>
      <c r="R219" s="48" t="n"/>
      <c r="S219" s="48" t="n"/>
    </row>
    <row r="220" ht="42.75" customHeight="1" s="71">
      <c r="A220" s="48" t="n"/>
      <c r="B220" s="48" t="n"/>
      <c r="C220" s="48" t="n"/>
      <c r="D220" s="48" t="n"/>
      <c r="E220" s="48" t="n"/>
      <c r="F220" s="48" t="n"/>
      <c r="G220" s="48" t="n"/>
      <c r="H220" s="22" t="n">
        <v>4</v>
      </c>
      <c r="I220" s="23" t="inlineStr">
        <is>
          <t>Practise the mechanics — assign, estimate, transition through statuses, link a blocker, attach a file, comment with an @mention.</t>
        </is>
      </c>
      <c r="J220" s="24" t="inlineStr">
        <is>
          <t>Done</t>
        </is>
      </c>
      <c r="K220" s="25" t="n">
        <v>46290</v>
      </c>
      <c r="L220" s="25" t="n">
        <v>46290</v>
      </c>
      <c r="M220" s="26" t="n">
        <v>1.5</v>
      </c>
      <c r="N220" s="48" t="n"/>
      <c r="O220" s="48" t="n"/>
      <c r="P220" s="48" t="n"/>
      <c r="Q220" s="48" t="n"/>
      <c r="R220" s="48" t="n"/>
      <c r="S220" s="48" t="n"/>
    </row>
    <row r="221" ht="30" customHeight="1" s="71" thickBot="1">
      <c r="A221" s="49" t="n"/>
      <c r="B221" s="49" t="n"/>
      <c r="C221" s="49" t="n"/>
      <c r="D221" s="49" t="n"/>
      <c r="E221" s="49" t="n"/>
      <c r="F221" s="49" t="n"/>
      <c r="G221" s="49" t="n"/>
      <c r="H221" s="27" t="n">
        <v>5</v>
      </c>
      <c r="I221" s="28" t="inlineStr">
        <is>
          <t>Learn to read a sprint board at a glance: what's in progress, what's blocked, what's at risk.</t>
        </is>
      </c>
      <c r="J221" s="29" t="inlineStr">
        <is>
          <t>Done</t>
        </is>
      </c>
      <c r="K221" s="31" t="n">
        <v>46290</v>
      </c>
      <c r="L221" s="31" t="n">
        <v>46290</v>
      </c>
      <c r="M221" s="30" t="n">
        <v>0.5</v>
      </c>
      <c r="N221" s="49" t="n"/>
      <c r="O221" s="49" t="n"/>
      <c r="P221" s="49" t="n"/>
      <c r="Q221" s="49" t="n"/>
      <c r="R221" s="49" t="n"/>
      <c r="S221" s="49" t="n"/>
    </row>
    <row r="222" ht="19.5" customHeight="1" s="71">
      <c r="A222" s="60" t="inlineStr">
        <is>
          <t>5.5</t>
        </is>
      </c>
      <c r="B222" s="51" t="n">
        <v>5</v>
      </c>
      <c r="C222" s="50" t="inlineStr">
        <is>
          <t>Learn: Testing and QA</t>
        </is>
      </c>
      <c r="D222" s="51" t="inlineStr">
        <is>
          <t>Learn</t>
        </is>
      </c>
      <c r="E222" s="51" t="n">
        <v>3</v>
      </c>
      <c r="F222" s="55">
        <f>IF(COUNTIF($J222:$J226,"Done")=5,"Done",IF(COUNTIF($J222:$J226,"Blocked")&gt;0,"Blocked",IF(COUNTIF($J222:$J226,"To do")=5,"Not started","In progress")))</f>
        <v/>
      </c>
      <c r="G222" s="55">
        <f>IF(SUM($M222:$M226)=0,"",SUM($M222:$M226))</f>
        <v/>
      </c>
      <c r="H222" s="17" t="n">
        <v>1</v>
      </c>
      <c r="I222" s="18" t="inlineStr">
        <is>
          <t>Watch the video and read the Atlassian overview.</t>
        </is>
      </c>
      <c r="J222" s="19" t="inlineStr">
        <is>
          <t>Done</t>
        </is>
      </c>
      <c r="K222" s="25" t="n">
        <v>46288</v>
      </c>
      <c r="L222" s="25" t="n">
        <v>46288</v>
      </c>
      <c r="M222" s="21" t="n"/>
      <c r="N222" s="52" t="inlineStr">
        <is>
          <t>Understand how software gets verified, and what your role is when a build comes back for design review.</t>
        </is>
      </c>
      <c r="O222" s="52" t="inlineStr">
        <is>
          <t>• *Software testing* — https://www.youtube.com/watch?v=cDQ34z0oqnQ
• Atlassian: *Types of software testing* — https://www.atlassian.com/continuous-delivery/software-testing/types-of-software-testing</t>
        </is>
      </c>
      <c r="P222" s="52" t="inlineStr">
        <is>
          <t>Design QA is a real activity: after a build, you check it against the design and log the differences. It takes patience, and it's one of the main ways quality gets protected.
---
---</t>
        </is>
      </c>
      <c r="Q222" s="52" t="inlineStr">
        <is>
          <t>4.8</t>
        </is>
      </c>
      <c r="R222" s="51" t="n"/>
      <c r="S222" s="52" t="n"/>
    </row>
    <row r="223" ht="30" customHeight="1" s="71">
      <c r="A223" s="48" t="n"/>
      <c r="B223" s="48" t="n"/>
      <c r="C223" s="48" t="n"/>
      <c r="D223" s="48" t="n"/>
      <c r="E223" s="48" t="n"/>
      <c r="F223" s="48" t="n"/>
      <c r="G223" s="48" t="n"/>
      <c r="H223" s="22" t="n">
        <v>2</v>
      </c>
      <c r="I223" s="23" t="inlineStr">
        <is>
          <t>Define: unit, integration, system, regression, smoke, UAT — and note which ones you'd ever be involved in.</t>
        </is>
      </c>
      <c r="J223" s="24" t="inlineStr">
        <is>
          <t>To do</t>
        </is>
      </c>
      <c r="K223" s="25" t="n"/>
      <c r="L223" s="25" t="n"/>
      <c r="M223" s="26" t="n"/>
      <c r="N223" s="48" t="n"/>
      <c r="O223" s="48" t="n"/>
      <c r="P223" s="48" t="n"/>
      <c r="Q223" s="48" t="n"/>
      <c r="R223" s="48" t="n"/>
      <c r="S223" s="48" t="n"/>
    </row>
    <row r="224" ht="30" customHeight="1" s="71">
      <c r="A224" s="48" t="n"/>
      <c r="B224" s="48" t="n"/>
      <c r="C224" s="48" t="n"/>
      <c r="D224" s="48" t="n"/>
      <c r="E224" s="48" t="n"/>
      <c r="F224" s="48" t="n"/>
      <c r="G224" s="48" t="n"/>
      <c r="H224" s="22" t="n">
        <v>3</v>
      </c>
      <c r="I224" s="23" t="inlineStr">
        <is>
          <t>Learn what a good bug report contains: steps to reproduce, expected, actual, environment, severity, screenshot.</t>
        </is>
      </c>
      <c r="J224" s="24" t="inlineStr">
        <is>
          <t>To do</t>
        </is>
      </c>
      <c r="K224" s="25" t="n"/>
      <c r="L224" s="25" t="n"/>
      <c r="M224" s="26" t="n"/>
      <c r="N224" s="48" t="n"/>
      <c r="O224" s="48" t="n"/>
      <c r="P224" s="48" t="n"/>
      <c r="Q224" s="48" t="n"/>
      <c r="R224" s="48" t="n"/>
      <c r="S224" s="48" t="n"/>
    </row>
    <row r="225" ht="30" customHeight="1" s="71">
      <c r="A225" s="48" t="n"/>
      <c r="B225" s="48" t="n"/>
      <c r="C225" s="48" t="n"/>
      <c r="D225" s="48" t="n"/>
      <c r="E225" s="48" t="n"/>
      <c r="F225" s="48" t="n"/>
      <c r="G225" s="48" t="n"/>
      <c r="H225" s="22" t="n">
        <v>4</v>
      </c>
      <c r="I225" s="23" t="inlineStr">
        <is>
          <t>Write three bug reports against your Task 4.8 prototype — genuine issues you find on a careful second look.</t>
        </is>
      </c>
      <c r="J225" s="24" t="inlineStr">
        <is>
          <t>To do</t>
        </is>
      </c>
      <c r="K225" s="25" t="n"/>
      <c r="L225" s="25" t="n"/>
      <c r="M225" s="26" t="n"/>
      <c r="N225" s="48" t="n"/>
      <c r="O225" s="48" t="n"/>
      <c r="P225" s="48" t="n"/>
      <c r="Q225" s="48" t="n"/>
      <c r="R225" s="48" t="n"/>
      <c r="S225" s="48" t="n"/>
    </row>
    <row r="226" ht="42.75" customHeight="1" s="71">
      <c r="A226" s="49" t="n"/>
      <c r="B226" s="49" t="n"/>
      <c r="C226" s="49" t="n"/>
      <c r="D226" s="49" t="n"/>
      <c r="E226" s="49" t="n"/>
      <c r="F226" s="49" t="n"/>
      <c r="G226" s="49" t="n"/>
      <c r="H226" s="27" t="n">
        <v>5</v>
      </c>
      <c r="I226" s="28" t="inlineStr">
        <is>
          <t>Ask Claude: *"What's the difference between a bug and a change request, and how should a product manager phrase the second one so it doesn't get logged as the first?"*</t>
        </is>
      </c>
      <c r="J226" s="29" t="inlineStr">
        <is>
          <t>To do</t>
        </is>
      </c>
      <c r="K226" s="31" t="n"/>
      <c r="L226" s="31" t="n"/>
      <c r="M226" s="30" t="n"/>
      <c r="N226" s="49" t="n"/>
      <c r="O226" s="49" t="n"/>
      <c r="P226" s="49" t="n"/>
      <c r="Q226" s="49" t="n"/>
      <c r="R226" s="49" t="n"/>
      <c r="S226" s="49" t="n"/>
    </row>
    <row r="227" ht="19.5" customHeight="1" s="71">
      <c r="A227" s="65" t="inlineStr">
        <is>
          <t>5.6</t>
        </is>
      </c>
      <c r="B227" s="54" t="n">
        <v>5</v>
      </c>
      <c r="C227" s="64" t="inlineStr">
        <is>
          <t>Learn: What an API is</t>
        </is>
      </c>
      <c r="D227" s="54" t="inlineStr">
        <is>
          <t>Learn</t>
        </is>
      </c>
      <c r="E227" s="54" t="n">
        <v>3</v>
      </c>
      <c r="F227" s="47">
        <f>IF(COUNTIF($J227:$J231,"Done")=5,"Done",IF(COUNTIF($J227:$J231,"Blocked")&gt;0,"Blocked",IF(COUNTIF($J227:$J231,"To do")=5,"Not started","In progress")))</f>
        <v/>
      </c>
      <c r="G227" s="47">
        <f>IF(SUM($M227:$M231)=0,"",SUM($M227:$M231))</f>
        <v/>
      </c>
      <c r="H227" s="17" t="n">
        <v>1</v>
      </c>
      <c r="I227" s="18" t="inlineStr">
        <is>
          <t>Watch the video and read the HTTP overview.</t>
        </is>
      </c>
      <c r="J227" s="19" t="inlineStr">
        <is>
          <t>To do</t>
        </is>
      </c>
      <c r="K227" s="20" t="n"/>
      <c r="L227" s="20" t="n"/>
      <c r="M227" s="21" t="n"/>
      <c r="N227" s="53" t="inlineStr">
        <is>
          <t>You'll hear "the API doesn't return that" constantly. Understanding what it means changes what you design and what you promise clients.</t>
        </is>
      </c>
      <c r="O227" s="53" t="inlineStr">
        <is>
          <t>• *What is an API?* — https://www.youtube.com/watch?v=s7wmiS2mSXY
• MDN: *An overview of HTTP* — https://developer.mozilla.org/en-US/docs/Web/HTTP/Overview
• REST API tutorial — https://restfulapi.net/</t>
        </is>
      </c>
      <c r="P227" s="53" t="inlineStr">
        <is>
          <t>The phrase to learn: "what does the API actually return for this?" Asking it during design saves redesigning after development starts.
---
---</t>
        </is>
      </c>
      <c r="Q227" s="53" t="inlineStr">
        <is>
          <t>—</t>
        </is>
      </c>
      <c r="R227" s="54" t="n"/>
      <c r="S227" s="53" t="n"/>
    </row>
    <row r="228" ht="30" customHeight="1" s="71">
      <c r="A228" s="48" t="n"/>
      <c r="B228" s="48" t="n"/>
      <c r="C228" s="48" t="n"/>
      <c r="D228" s="48" t="n"/>
      <c r="E228" s="48" t="n"/>
      <c r="F228" s="48" t="n"/>
      <c r="G228" s="48" t="n"/>
      <c r="H228" s="22" t="n">
        <v>2</v>
      </c>
      <c r="I228" s="23" t="inlineStr">
        <is>
          <t>Define: endpoint, request, response, GET/POST/PUT/DELETE, status code, payload, JSON, latency, pagination.</t>
        </is>
      </c>
      <c r="J228" s="24" t="inlineStr">
        <is>
          <t>To do</t>
        </is>
      </c>
      <c r="K228" s="25" t="n"/>
      <c r="L228" s="25" t="n"/>
      <c r="M228" s="26" t="n"/>
      <c r="N228" s="48" t="n"/>
      <c r="O228" s="48" t="n"/>
      <c r="P228" s="48" t="n"/>
      <c r="Q228" s="48" t="n"/>
      <c r="R228" s="48" t="n"/>
      <c r="S228" s="48" t="n"/>
    </row>
    <row r="229" ht="30" customHeight="1" s="71">
      <c r="A229" s="48" t="n"/>
      <c r="B229" s="48" t="n"/>
      <c r="C229" s="48" t="n"/>
      <c r="D229" s="48" t="n"/>
      <c r="E229" s="48" t="n"/>
      <c r="F229" s="48" t="n"/>
      <c r="G229" s="48" t="n"/>
      <c r="H229" s="22" t="n">
        <v>3</v>
      </c>
      <c r="I229" s="23" t="inlineStr">
        <is>
          <t>Look at a real public API response — try https://api.github.com/users/anthropics — and identify the fields.</t>
        </is>
      </c>
      <c r="J229" s="24" t="inlineStr">
        <is>
          <t>To do</t>
        </is>
      </c>
      <c r="K229" s="25" t="n"/>
      <c r="L229" s="25" t="n"/>
      <c r="M229" s="26" t="n"/>
      <c r="N229" s="48" t="n"/>
      <c r="O229" s="48" t="n"/>
      <c r="P229" s="48" t="n"/>
      <c r="Q229" s="48" t="n"/>
      <c r="R229" s="48" t="n"/>
      <c r="S229" s="48" t="n"/>
    </row>
    <row r="230" ht="42.75" customHeight="1" s="71">
      <c r="A230" s="48" t="n"/>
      <c r="B230" s="48" t="n"/>
      <c r="C230" s="48" t="n"/>
      <c r="D230" s="48" t="n"/>
      <c r="E230" s="48" t="n"/>
      <c r="F230" s="48" t="n"/>
      <c r="G230" s="48" t="n"/>
      <c r="H230" s="22" t="n">
        <v>4</v>
      </c>
      <c r="I230" s="23" t="inlineStr">
        <is>
          <t>Write down five design decisions that depend on how an API behaves: loading states, pagination, search behaviour, real-time updates, and what happens when a call fails.</t>
        </is>
      </c>
      <c r="J230" s="24" t="inlineStr">
        <is>
          <t>To do</t>
        </is>
      </c>
      <c r="K230" s="25" t="n"/>
      <c r="L230" s="25" t="n"/>
      <c r="M230" s="26" t="n"/>
      <c r="N230" s="48" t="n"/>
      <c r="O230" s="48" t="n"/>
      <c r="P230" s="48" t="n"/>
      <c r="Q230" s="48" t="n"/>
      <c r="R230" s="48" t="n"/>
      <c r="S230" s="48" t="n"/>
    </row>
    <row r="231" ht="42.75" customHeight="1" s="71">
      <c r="A231" s="49" t="n"/>
      <c r="B231" s="49" t="n"/>
      <c r="C231" s="49" t="n"/>
      <c r="D231" s="49" t="n"/>
      <c r="E231" s="49" t="n"/>
      <c r="F231" s="49" t="n"/>
      <c r="G231" s="49" t="n"/>
      <c r="H231" s="27" t="n">
        <v>5</v>
      </c>
      <c r="I231" s="28" t="inlineStr">
        <is>
          <t>Ask Claude: *"Explain to a product manager why 'just show all the results on one page' is sometimes an expensive request, in terms of APIs and data."*</t>
        </is>
      </c>
      <c r="J231" s="29" t="inlineStr">
        <is>
          <t>To do</t>
        </is>
      </c>
      <c r="K231" s="31" t="n"/>
      <c r="L231" s="31" t="n"/>
      <c r="M231" s="30" t="n"/>
      <c r="N231" s="49" t="n"/>
      <c r="O231" s="49" t="n"/>
      <c r="P231" s="49" t="n"/>
      <c r="Q231" s="49" t="n"/>
      <c r="R231" s="49" t="n"/>
      <c r="S231" s="49" t="n"/>
    </row>
    <row r="232" ht="42.75" customHeight="1" s="71">
      <c r="A232" s="60" t="inlineStr">
        <is>
          <t>5.7</t>
        </is>
      </c>
      <c r="B232" s="51" t="n">
        <v>5</v>
      </c>
      <c r="C232" s="50" t="inlineStr">
        <is>
          <t>Practise: Getting requirements out of people</t>
        </is>
      </c>
      <c r="D232" s="51" t="inlineStr">
        <is>
          <t>Practise</t>
        </is>
      </c>
      <c r="E232" s="51" t="n">
        <v>4</v>
      </c>
      <c r="F232" s="55">
        <f>IF(COUNTIF($J232:$J236,"Done")=5,"Done",IF(COUNTIF($J232:$J236,"Blocked")&gt;0,"Blocked",IF(COUNTIF($J232:$J236,"To do")=5,"Not started","In progress")))</f>
        <v/>
      </c>
      <c r="G232" s="55">
        <f>IF(SUM($M232:$M236)=0,"",SUM($M232:$M236))</f>
        <v/>
      </c>
      <c r="H232" s="17" t="n">
        <v>1</v>
      </c>
      <c r="I232" s="18" t="inlineStr">
        <is>
          <t>Work the elicitation and stakeholder sections of both courses. Skim the parts about document templates — you won't be producing those by hand.</t>
        </is>
      </c>
      <c r="J232" s="19" t="inlineStr">
        <is>
          <t>To do</t>
        </is>
      </c>
      <c r="K232" s="20" t="n"/>
      <c r="L232" s="20" t="n"/>
      <c r="M232" s="21" t="n"/>
      <c r="N232" s="52" t="inlineStr">
        <is>
          <t>The valuable half of business analysis is elicitation — knowing what to ask, and hearing what someone means rather than what they said. Writing it up afterwards is the easy part now.</t>
        </is>
      </c>
      <c r="O232" s="52" t="inlineStr">
        <is>
          <t>• Udemy: *Business Analysis Fundamentals* — https://www.udemy.com/course/business-analysis-ba/ — *work the elicitation and stakeholder sections properly; skim the documentation-template modules*
• Udemy: *Business Analyst / Manager's Intro to Software Development* — https://www.udemy.com/course/business-analyst-managers-intro-to-software-development/ — *same approach*
• Atlassian: *Requirements gathering* — https://www.atlassian.com/work-management/project-management/requirements-gathering</t>
        </is>
      </c>
      <c r="P232" s="52" t="inlineStr">
        <is>
          <t>Step 5 is the one that builds the skill. The gap between what you asked and what you needed to ask is where elicitation actually improves, and you'll only notice it if you check while the conversation is fresh.
---
---</t>
        </is>
      </c>
      <c r="Q232" s="52" t="inlineStr">
        <is>
          <t>—</t>
        </is>
      </c>
      <c r="R232" s="51" t="n"/>
      <c r="S232" s="52" t="n"/>
    </row>
    <row r="233" ht="42.75" customHeight="1" s="71">
      <c r="A233" s="48" t="n"/>
      <c r="B233" s="48" t="n"/>
      <c r="C233" s="48" t="n"/>
      <c r="D233" s="48" t="n"/>
      <c r="E233" s="48" t="n"/>
      <c r="F233" s="48" t="n"/>
      <c r="G233" s="48" t="n"/>
      <c r="H233" s="22" t="n">
        <v>2</v>
      </c>
      <c r="I233" s="23" t="inlineStr">
        <is>
          <t>Note the elicitation techniques and when each fits: interviews, workshops, document analysis, observation, prototyping.</t>
        </is>
      </c>
      <c r="J233" s="24" t="inlineStr">
        <is>
          <t>To do</t>
        </is>
      </c>
      <c r="K233" s="25" t="n"/>
      <c r="L233" s="25" t="n"/>
      <c r="M233" s="26" t="n"/>
      <c r="N233" s="48" t="n"/>
      <c r="O233" s="48" t="n"/>
      <c r="P233" s="48" t="n"/>
      <c r="Q233" s="48" t="n"/>
      <c r="R233" s="48" t="n"/>
      <c r="S233" s="48" t="n"/>
    </row>
    <row r="234" ht="42.75" customHeight="1" s="71">
      <c r="A234" s="48" t="n"/>
      <c r="B234" s="48" t="n"/>
      <c r="C234" s="48" t="n"/>
      <c r="D234" s="48" t="n"/>
      <c r="E234" s="48" t="n"/>
      <c r="F234" s="48" t="n"/>
      <c r="G234" s="48" t="n"/>
      <c r="H234" s="22" t="n">
        <v>3</v>
      </c>
      <c r="I234" s="23" t="inlineStr">
        <is>
          <t>Learn the four requirement types — business, stakeholder, functional, non-functional — well enough to spot which one is missing from a conversation.</t>
        </is>
      </c>
      <c r="J234" s="24" t="inlineStr">
        <is>
          <t>To do</t>
        </is>
      </c>
      <c r="K234" s="25" t="n"/>
      <c r="L234" s="25" t="n"/>
      <c r="M234" s="26" t="n"/>
      <c r="N234" s="48" t="n"/>
      <c r="O234" s="48" t="n"/>
      <c r="P234" s="48" t="n"/>
      <c r="Q234" s="48" t="n"/>
      <c r="R234" s="48" t="n"/>
      <c r="S234" s="48" t="n"/>
    </row>
    <row r="235" ht="42.75" customHeight="1" s="71">
      <c r="A235" s="48" t="n"/>
      <c r="B235" s="48" t="n"/>
      <c r="C235" s="48" t="n"/>
      <c r="D235" s="48" t="n"/>
      <c r="E235" s="48" t="n"/>
      <c r="F235" s="48" t="n"/>
      <c r="G235" s="48" t="n"/>
      <c r="H235" s="22" t="n">
        <v>4</v>
      </c>
      <c r="I235" s="23" t="inlineStr">
        <is>
          <t>Run a twenty-minute live elicitation with your mentor playing the Harvest Hub warehouse manager. Your job is to leave knowing what to build; take rough notes only.</t>
        </is>
      </c>
      <c r="J235" s="24" t="inlineStr">
        <is>
          <t>To do</t>
        </is>
      </c>
      <c r="K235" s="25" t="n"/>
      <c r="L235" s="25" t="n"/>
      <c r="M235" s="26" t="n"/>
      <c r="N235" s="48" t="n"/>
      <c r="O235" s="48" t="n"/>
      <c r="P235" s="48" t="n"/>
      <c r="Q235" s="48" t="n"/>
      <c r="R235" s="48" t="n"/>
      <c r="S235" s="48" t="n"/>
    </row>
    <row r="236" ht="42.75" customHeight="1" s="71">
      <c r="A236" s="49" t="n"/>
      <c r="B236" s="49" t="n"/>
      <c r="C236" s="49" t="n"/>
      <c r="D236" s="49" t="n"/>
      <c r="E236" s="49" t="n"/>
      <c r="F236" s="49" t="n"/>
      <c r="G236" s="49" t="n"/>
      <c r="H236" s="27" t="n">
        <v>5</v>
      </c>
      <c r="I236" s="28" t="inlineStr">
        <is>
          <t>Straight afterwards, say out loud the three things you now know that weren't in the brief — and the one thing you should have asked and didn't.</t>
        </is>
      </c>
      <c r="J236" s="29" t="inlineStr">
        <is>
          <t>To do</t>
        </is>
      </c>
      <c r="K236" s="31" t="n"/>
      <c r="L236" s="31" t="n"/>
      <c r="M236" s="30" t="n"/>
      <c r="N236" s="49" t="n"/>
      <c r="O236" s="49" t="n"/>
      <c r="P236" s="49" t="n"/>
      <c r="Q236" s="49" t="n"/>
      <c r="R236" s="49" t="n"/>
      <c r="S236" s="49" t="n"/>
    </row>
    <row r="237" ht="30" customHeight="1" s="71">
      <c r="A237" s="65" t="inlineStr">
        <is>
          <t>5.8</t>
        </is>
      </c>
      <c r="B237" s="54" t="n">
        <v>5</v>
      </c>
      <c r="C237" s="64" t="inlineStr">
        <is>
          <t>Practise: User stories and acceptance criteria</t>
        </is>
      </c>
      <c r="D237" s="54" t="inlineStr">
        <is>
          <t>Practise</t>
        </is>
      </c>
      <c r="E237" s="54" t="n">
        <v>4</v>
      </c>
      <c r="F237" s="47">
        <f>IF(COUNTIF($J237:$J241,"Done")=5,"Done",IF(COUNTIF($J237:$J241,"Blocked")&gt;0,"Blocked",IF(COUNTIF($J237:$J241,"To do")=5,"Not started","In progress")))</f>
        <v/>
      </c>
      <c r="G237" s="47">
        <f>IF(SUM($M237:$M241)=0,"",SUM($M237:$M241))</f>
        <v/>
      </c>
      <c r="H237" s="17" t="n">
        <v>1</v>
      </c>
      <c r="I237" s="18" t="inlineStr">
        <is>
          <t>Read all three, focusing on INVEST and on Given/When/Then acceptance criteria.</t>
        </is>
      </c>
      <c r="J237" s="19" t="inlineStr">
        <is>
          <t>To do</t>
        </is>
      </c>
      <c r="K237" s="20" t="n"/>
      <c r="L237" s="20" t="n"/>
      <c r="M237" s="21" t="n"/>
      <c r="N237" s="53" t="inlineStr">
        <is>
          <t>The unit of work in an Agile team. Writing these well is a large part of your job.</t>
        </is>
      </c>
      <c r="O237" s="53" t="inlineStr">
        <is>
          <t>• Atlassian: *User stories* — https://www.atlassian.com/agile/project-management/user-stories
• Atlassian: *Acceptance criteria* — https://www.atlassian.com/work-management/project-management/acceptance-criteria
• Mountain Goat: *INVEST criteria* — https://www.mountaingoatsoftware.com/blog/advantages-of-the-as-a-user-i-want-user-story-template</t>
        </is>
      </c>
      <c r="P237" s="53" t="inlineStr">
        <is>
          <t>Acceptance criteria are where design decisions become contractual. If it's not in the criteria, it probably won't get built the way you pictured it.
---
---</t>
        </is>
      </c>
      <c r="Q237" s="53" t="inlineStr">
        <is>
          <t>—</t>
        </is>
      </c>
      <c r="R237" s="54" t="n"/>
      <c r="S237" s="53" t="n"/>
    </row>
    <row r="238" ht="30" customHeight="1" s="71">
      <c r="A238" s="48" t="n"/>
      <c r="B238" s="48" t="n"/>
      <c r="C238" s="48" t="n"/>
      <c r="D238" s="48" t="n"/>
      <c r="E238" s="48" t="n"/>
      <c r="F238" s="48" t="n"/>
      <c r="G238" s="48" t="n"/>
      <c r="H238" s="22" t="n">
        <v>2</v>
      </c>
      <c r="I238" s="23" t="inlineStr">
        <is>
          <t>Write ten user stories for Harvest Hub in the standard form, each with at least three acceptance criteria.</t>
        </is>
      </c>
      <c r="J238" s="24" t="inlineStr">
        <is>
          <t>To do</t>
        </is>
      </c>
      <c r="K238" s="25" t="n"/>
      <c r="L238" s="25" t="n"/>
      <c r="M238" s="26" t="n"/>
      <c r="N238" s="48" t="n"/>
      <c r="O238" s="48" t="n"/>
      <c r="P238" s="48" t="n"/>
      <c r="Q238" s="48" t="n"/>
      <c r="R238" s="48" t="n"/>
      <c r="S238" s="48" t="n"/>
    </row>
    <row r="239" ht="30" customHeight="1" s="71">
      <c r="A239" s="48" t="n"/>
      <c r="B239" s="48" t="n"/>
      <c r="C239" s="48" t="n"/>
      <c r="D239" s="48" t="n"/>
      <c r="E239" s="48" t="n"/>
      <c r="F239" s="48" t="n"/>
      <c r="G239" s="48" t="n"/>
      <c r="H239" s="22" t="n">
        <v>3</v>
      </c>
      <c r="I239" s="23" t="inlineStr">
        <is>
          <t>Include the unglamorous ones: permissions, validation, error handling, empty states.</t>
        </is>
      </c>
      <c r="J239" s="24" t="inlineStr">
        <is>
          <t>To do</t>
        </is>
      </c>
      <c r="K239" s="25" t="n"/>
      <c r="L239" s="25" t="n"/>
      <c r="M239" s="26" t="n"/>
      <c r="N239" s="48" t="n"/>
      <c r="O239" s="48" t="n"/>
      <c r="P239" s="48" t="n"/>
      <c r="Q239" s="48" t="n"/>
      <c r="R239" s="48" t="n"/>
      <c r="S239" s="48" t="n"/>
    </row>
    <row r="240" ht="30" customHeight="1" s="71">
      <c r="A240" s="48" t="n"/>
      <c r="B240" s="48" t="n"/>
      <c r="C240" s="48" t="n"/>
      <c r="D240" s="48" t="n"/>
      <c r="E240" s="48" t="n"/>
      <c r="F240" s="48" t="n"/>
      <c r="G240" s="48" t="n"/>
      <c r="H240" s="22" t="n">
        <v>4</v>
      </c>
      <c r="I240" s="23" t="inlineStr">
        <is>
          <t>Score every story against INVEST and rewrite any that fail.</t>
        </is>
      </c>
      <c r="J240" s="24" t="inlineStr">
        <is>
          <t>To do</t>
        </is>
      </c>
      <c r="K240" s="25" t="n"/>
      <c r="L240" s="25" t="n"/>
      <c r="M240" s="26" t="n"/>
      <c r="N240" s="48" t="n"/>
      <c r="O240" s="48" t="n"/>
      <c r="P240" s="48" t="n"/>
      <c r="Q240" s="48" t="n"/>
      <c r="R240" s="48" t="n"/>
      <c r="S240" s="48" t="n"/>
    </row>
    <row r="241" ht="42.75" customHeight="1" s="71">
      <c r="A241" s="49" t="n"/>
      <c r="B241" s="49" t="n"/>
      <c r="C241" s="49" t="n"/>
      <c r="D241" s="49" t="n"/>
      <c r="E241" s="49" t="n"/>
      <c r="F241" s="49" t="n"/>
      <c r="G241" s="49" t="n"/>
      <c r="H241" s="27" t="n">
        <v>5</v>
      </c>
      <c r="I241" s="28" t="inlineStr">
        <is>
          <t>Ask Claude to test them: *"You're a developer picking up these stories with no other context. For each, tell me what you'd still have to guess."*</t>
        </is>
      </c>
      <c r="J241" s="29" t="inlineStr">
        <is>
          <t>To do</t>
        </is>
      </c>
      <c r="K241" s="31" t="n"/>
      <c r="L241" s="31" t="n"/>
      <c r="M241" s="30" t="n"/>
      <c r="N241" s="49" t="n"/>
      <c r="O241" s="49" t="n"/>
      <c r="P241" s="49" t="n"/>
      <c r="Q241" s="49" t="n"/>
      <c r="R241" s="49" t="n"/>
      <c r="S241" s="49" t="n"/>
    </row>
    <row r="242" ht="19.5" customHeight="1" s="71">
      <c r="A242" s="60" t="inlineStr">
        <is>
          <t>5.9</t>
        </is>
      </c>
      <c r="B242" s="51" t="n">
        <v>5</v>
      </c>
      <c r="C242" s="50" t="inlineStr">
        <is>
          <t>Learn: Estimation, scope and prioritisation</t>
        </is>
      </c>
      <c r="D242" s="51" t="inlineStr">
        <is>
          <t>Learn</t>
        </is>
      </c>
      <c r="E242" s="51" t="n">
        <v>3</v>
      </c>
      <c r="F242" s="55">
        <f>IF(COUNTIF($J242:$J246,"Done")=5,"Done",IF(COUNTIF($J242:$J246,"Blocked")&gt;0,"Blocked",IF(COUNTIF($J242:$J246,"To do")=5,"Not started","In progress")))</f>
        <v/>
      </c>
      <c r="G242" s="55">
        <f>IF(SUM($M242:$M246)=0,"",SUM($M242:$M246))</f>
        <v/>
      </c>
      <c r="H242" s="17" t="n">
        <v>1</v>
      </c>
      <c r="I242" s="18" t="inlineStr">
        <is>
          <t>Read all three.</t>
        </is>
      </c>
      <c r="J242" s="19" t="inlineStr">
        <is>
          <t>To do</t>
        </is>
      </c>
      <c r="K242" s="20" t="n"/>
      <c r="L242" s="20" t="n"/>
      <c r="M242" s="21" t="n"/>
      <c r="N242" s="52" t="inlineStr">
        <is>
          <t>How work gets sized and ordered — and why your instinct about how long something takes is wrong in a predictable direction.</t>
        </is>
      </c>
      <c r="O242" s="52" t="inlineStr">
        <is>
          <t>• Atlassian: *Story points and estimation* — https://www.atlassian.com/agile/project-management/estimation
• MoSCoW prioritisation — https://www.productplan.com/glossary/moscow-prioritization/
• RICE scoring — https://www.productplan.com/glossary/rice-scoring-model/</t>
        </is>
      </c>
      <c r="P242" s="52" t="inlineStr">
        <is>
          <t>Almost everyone underestimates at first, experienced people included. The fix isn't trying harder — it's tracking how long things actually take you and letting that evidence sharpen your next estimate.
---
---</t>
        </is>
      </c>
      <c r="Q242" s="52" t="inlineStr">
        <is>
          <t>—</t>
        </is>
      </c>
      <c r="R242" s="51" t="n"/>
      <c r="S242" s="52" t="n"/>
    </row>
    <row r="243" ht="42.75" customHeight="1" s="71">
      <c r="A243" s="48" t="n"/>
      <c r="B243" s="48" t="n"/>
      <c r="C243" s="48" t="n"/>
      <c r="D243" s="48" t="n"/>
      <c r="E243" s="48" t="n"/>
      <c r="F243" s="48" t="n"/>
      <c r="G243" s="48" t="n"/>
      <c r="H243" s="22" t="n">
        <v>2</v>
      </c>
      <c r="I243" s="23" t="inlineStr">
        <is>
          <t>Estimate your ten user stories in story points using relative sizing — compare stories to each other rather than guessing hours.</t>
        </is>
      </c>
      <c r="J243" s="24" t="inlineStr">
        <is>
          <t>To do</t>
        </is>
      </c>
      <c r="K243" s="25" t="n"/>
      <c r="L243" s="25" t="n"/>
      <c r="M243" s="26" t="n"/>
      <c r="N243" s="48" t="n"/>
      <c r="O243" s="48" t="n"/>
      <c r="P243" s="48" t="n"/>
      <c r="Q243" s="48" t="n"/>
      <c r="R243" s="48" t="n"/>
      <c r="S243" s="48" t="n"/>
    </row>
    <row r="244" ht="30" customHeight="1" s="71">
      <c r="A244" s="48" t="n"/>
      <c r="B244" s="48" t="n"/>
      <c r="C244" s="48" t="n"/>
      <c r="D244" s="48" t="n"/>
      <c r="E244" s="48" t="n"/>
      <c r="F244" s="48" t="n"/>
      <c r="G244" s="48" t="n"/>
      <c r="H244" s="22" t="n">
        <v>3</v>
      </c>
      <c r="I244" s="23" t="inlineStr">
        <is>
          <t>Prioritise the same ten with MoSCoW, then again with RICE. Note where the two methods disagree.</t>
        </is>
      </c>
      <c r="J244" s="24" t="inlineStr">
        <is>
          <t>To do</t>
        </is>
      </c>
      <c r="K244" s="25" t="n"/>
      <c r="L244" s="25" t="n"/>
      <c r="M244" s="26" t="n"/>
      <c r="N244" s="48" t="n"/>
      <c r="O244" s="48" t="n"/>
      <c r="P244" s="48" t="n"/>
      <c r="Q244" s="48" t="n"/>
      <c r="R244" s="48" t="n"/>
      <c r="S244" s="48" t="n"/>
    </row>
    <row r="245" ht="30" customHeight="1" s="71">
      <c r="A245" s="48" t="n"/>
      <c r="B245" s="48" t="n"/>
      <c r="C245" s="48" t="n"/>
      <c r="D245" s="48" t="n"/>
      <c r="E245" s="48" t="n"/>
      <c r="F245" s="48" t="n"/>
      <c r="G245" s="48" t="n"/>
      <c r="H245" s="22" t="n">
        <v>4</v>
      </c>
      <c r="I245" s="23" t="inlineStr">
        <is>
          <t>Write a paragraph on which method you'd use with a client and why.</t>
        </is>
      </c>
      <c r="J245" s="24" t="inlineStr">
        <is>
          <t>To do</t>
        </is>
      </c>
      <c r="K245" s="25" t="n"/>
      <c r="L245" s="25" t="n"/>
      <c r="M245" s="26" t="n"/>
      <c r="N245" s="48" t="n"/>
      <c r="O245" s="48" t="n"/>
      <c r="P245" s="48" t="n"/>
      <c r="Q245" s="48" t="n"/>
      <c r="R245" s="48" t="n"/>
      <c r="S245" s="48" t="n"/>
    </row>
    <row r="246" ht="42.75" customHeight="1" s="71">
      <c r="A246" s="49" t="n"/>
      <c r="B246" s="49" t="n"/>
      <c r="C246" s="49" t="n"/>
      <c r="D246" s="49" t="n"/>
      <c r="E246" s="49" t="n"/>
      <c r="F246" s="49" t="n"/>
      <c r="G246" s="49" t="n"/>
      <c r="H246" s="27" t="n">
        <v>5</v>
      </c>
      <c r="I246" s="28" t="inlineStr">
        <is>
          <t>Ask Claude: *"What is the planning fallacy and how does it show up specifically in product and delivery work? Give me three concrete countermeasures."*</t>
        </is>
      </c>
      <c r="J246" s="29" t="inlineStr">
        <is>
          <t>To do</t>
        </is>
      </c>
      <c r="K246" s="31" t="n"/>
      <c r="L246" s="31" t="n"/>
      <c r="M246" s="30" t="n"/>
      <c r="N246" s="49" t="n"/>
      <c r="O246" s="49" t="n"/>
      <c r="P246" s="49" t="n"/>
      <c r="Q246" s="49" t="n"/>
      <c r="R246" s="49" t="n"/>
      <c r="S246" s="49" t="n"/>
    </row>
    <row r="247" ht="42.75" customHeight="1" s="71">
      <c r="A247" s="65" t="inlineStr">
        <is>
          <t>5.10</t>
        </is>
      </c>
      <c r="B247" s="54" t="n">
        <v>5</v>
      </c>
      <c r="C247" s="64" t="inlineStr">
        <is>
          <t>Build: A roadmap you can defend</t>
        </is>
      </c>
      <c r="D247" s="54" t="inlineStr">
        <is>
          <t>Build</t>
        </is>
      </c>
      <c r="E247" s="54" t="n">
        <v>4</v>
      </c>
      <c r="F247" s="47">
        <f>IF(COUNTIF($J247:$J251,"Done")=5,"Done",IF(COUNTIF($J247:$J251,"Blocked")&gt;0,"Blocked",IF(COUNTIF($J247:$J251,"To do")=5,"Not started","In progress")))</f>
        <v/>
      </c>
      <c r="G247" s="47">
        <f>IF(SUM($M247:$M251)=0,"",SUM($M247:$M251))</f>
        <v/>
      </c>
      <c r="H247" s="17" t="n">
        <v>1</v>
      </c>
      <c r="I247" s="18" t="inlineStr">
        <is>
          <t>Read the Atlassian guide and the Now/Next/Later approach, noting the difference between a roadmap and a release plan.</t>
        </is>
      </c>
      <c r="J247" s="19" t="inlineStr">
        <is>
          <t>To do</t>
        </is>
      </c>
      <c r="K247" s="20" t="n"/>
      <c r="L247" s="20" t="n"/>
      <c r="M247" s="21" t="n"/>
      <c r="N247" s="53" t="inlineStr">
        <is>
          <t>Estimation tells you how big something is; prioritisation tells you what matters most. A roadmap is where those meet a calendar, a dependency and a client who wants a date. Building one is straightforward — defending it is the skill.</t>
        </is>
      </c>
      <c r="O247" s="53" t="inlineStr">
        <is>
          <t>• Atlassian: *Product roadmaps* — https://www.atlassian.com/agile/product-management/roadmaps
• SVPG: *Roadmaps* — https://www.svpg.com/articles/
• ProductPlan: *Now, Next, Later* — https://www.productplan.com/glossary/now-next-later-roadmap/
• Your prioritisation work from Task 4.7</t>
        </is>
      </c>
      <c r="P247" s="53" t="inlineStr">
        <is>
          <t>Dates on a roadmap are commitments in the client's memory, whatever caveat you attached. Be slower to give them than feels comfortable, and clear about what would have to be true for them to hold.
---</t>
        </is>
      </c>
      <c r="Q247" s="53" t="inlineStr">
        <is>
          <t>4.7</t>
        </is>
      </c>
      <c r="R247" s="54" t="n"/>
      <c r="S247" s="53" t="n"/>
    </row>
    <row r="248" ht="30" customHeight="1" s="71">
      <c r="A248" s="48" t="n"/>
      <c r="B248" s="48" t="n"/>
      <c r="C248" s="48" t="n"/>
      <c r="D248" s="48" t="n"/>
      <c r="E248" s="48" t="n"/>
      <c r="F248" s="48" t="n"/>
      <c r="G248" s="48" t="n"/>
      <c r="H248" s="22" t="n">
        <v>2</v>
      </c>
      <c r="I248" s="23" t="inlineStr">
        <is>
          <t>Build a Now / Next / Later roadmap for Harvest Hub from your prioritised stories. Group by outcome, not by feature.</t>
        </is>
      </c>
      <c r="J248" s="24" t="inlineStr">
        <is>
          <t>To do</t>
        </is>
      </c>
      <c r="K248" s="25" t="n"/>
      <c r="L248" s="25" t="n"/>
      <c r="M248" s="26" t="n"/>
      <c r="N248" s="48" t="n"/>
      <c r="O248" s="48" t="n"/>
      <c r="P248" s="48" t="n"/>
      <c r="Q248" s="48" t="n"/>
      <c r="R248" s="48" t="n"/>
      <c r="S248" s="48" t="n"/>
    </row>
    <row r="249" ht="42.75" customHeight="1" s="71">
      <c r="A249" s="48" t="n"/>
      <c r="B249" s="48" t="n"/>
      <c r="C249" s="48" t="n"/>
      <c r="D249" s="48" t="n"/>
      <c r="E249" s="48" t="n"/>
      <c r="F249" s="48" t="n"/>
      <c r="G249" s="48" t="n"/>
      <c r="H249" s="22" t="n">
        <v>3</v>
      </c>
      <c r="I249" s="23" t="inlineStr">
        <is>
          <t>Mark every dependency — anything that can't start until something else finishes — and identify which single item, if it slips, moves the most.</t>
        </is>
      </c>
      <c r="J249" s="24" t="inlineStr">
        <is>
          <t>To do</t>
        </is>
      </c>
      <c r="K249" s="25" t="n"/>
      <c r="L249" s="25" t="n"/>
      <c r="M249" s="26" t="n"/>
      <c r="N249" s="48" t="n"/>
      <c r="O249" s="48" t="n"/>
      <c r="P249" s="48" t="n"/>
      <c r="Q249" s="48" t="n"/>
      <c r="R249" s="48" t="n"/>
      <c r="S249" s="48" t="n"/>
    </row>
    <row r="250" ht="30" customHeight="1" s="71">
      <c r="A250" s="48" t="n"/>
      <c r="B250" s="48" t="n"/>
      <c r="C250" s="48" t="n"/>
      <c r="D250" s="48" t="n"/>
      <c r="E250" s="48" t="n"/>
      <c r="F250" s="48" t="n"/>
      <c r="G250" s="48" t="n"/>
      <c r="H250" s="22" t="n">
        <v>4</v>
      </c>
      <c r="I250" s="23" t="inlineStr">
        <is>
          <t>Write a two-sentence scope statement: what's in the first release, and what you have explicitly deferred.</t>
        </is>
      </c>
      <c r="J250" s="24" t="inlineStr">
        <is>
          <t>To do</t>
        </is>
      </c>
      <c r="K250" s="25" t="n"/>
      <c r="L250" s="25" t="n"/>
      <c r="M250" s="26" t="n"/>
      <c r="N250" s="48" t="n"/>
      <c r="O250" s="48" t="n"/>
      <c r="P250" s="48" t="n"/>
      <c r="Q250" s="48" t="n"/>
      <c r="R250" s="48" t="n"/>
      <c r="S250" s="48" t="n"/>
    </row>
    <row r="251" ht="55.5" customHeight="1" s="71">
      <c r="A251" s="49" t="n"/>
      <c r="B251" s="49" t="n"/>
      <c r="C251" s="49" t="n"/>
      <c r="D251" s="49" t="n"/>
      <c r="E251" s="49" t="n"/>
      <c r="F251" s="49" t="n"/>
      <c r="G251" s="49" t="n"/>
      <c r="H251" s="27" t="n">
        <v>5</v>
      </c>
      <c r="I251" s="28" t="inlineStr">
        <is>
          <t>Have Claude push back: *"You're the client. This roadmap defers something you asked for. Challenge me on it, and press me for a date on the Later column."* Note which answers you couldn't defend.</t>
        </is>
      </c>
      <c r="J251" s="29" t="inlineStr">
        <is>
          <t>To do</t>
        </is>
      </c>
      <c r="K251" s="31" t="n"/>
      <c r="L251" s="31" t="n"/>
      <c r="M251" s="30" t="n"/>
      <c r="N251" s="49" t="n"/>
      <c r="O251" s="49" t="n"/>
      <c r="P251" s="49" t="n"/>
      <c r="Q251" s="49" t="n"/>
      <c r="R251" s="49" t="n"/>
      <c r="S251" s="49" t="n"/>
    </row>
    <row r="252" ht="42.75" customHeight="1" s="71">
      <c r="A252" s="60" t="inlineStr">
        <is>
          <t>5.11</t>
        </is>
      </c>
      <c r="B252" s="51" t="n">
        <v>5</v>
      </c>
      <c r="C252" s="50" t="inlineStr">
        <is>
          <t>Practise: Writing for people who weren't in the room</t>
        </is>
      </c>
      <c r="D252" s="51" t="inlineStr">
        <is>
          <t>Practise</t>
        </is>
      </c>
      <c r="E252" s="51" t="n">
        <v>3</v>
      </c>
      <c r="F252" s="55">
        <f>IF(COUNTIF($J252:$J256,"Done")=5,"Done",IF(COUNTIF($J252:$J256,"Blocked")&gt;0,"Blocked",IF(COUNTIF($J252:$J256,"To do")=5,"Not started","In progress")))</f>
        <v/>
      </c>
      <c r="G252" s="55">
        <f>IF(SUM($M252:$M256)=0,"",SUM($M252:$M256))</f>
        <v/>
      </c>
      <c r="H252" s="17" t="n">
        <v>1</v>
      </c>
      <c r="I252" s="18" t="inlineStr">
        <is>
          <t>Write a weekly status update for Harvest Hub: what shipped, what's at risk, what you need from whom, and one decision you're asking for. Keep it under 200 words.</t>
        </is>
      </c>
      <c r="J252" s="19" t="inlineStr">
        <is>
          <t>To do</t>
        </is>
      </c>
      <c r="K252" s="20" t="n"/>
      <c r="L252" s="20" t="n"/>
      <c r="M252" s="21" t="n"/>
      <c r="N252" s="52" t="inlineStr">
        <is>
          <t>Most of your influence travels as writing that someone reads without you there to explain it. Status updates, decision summaries, release notes — this is a large part of the job and almost nobody is taught it.</t>
        </is>
      </c>
      <c r="O252" s="52" t="inlineStr">
        <is>
          <t>• Amazon's narrative memo approach — https://www.allthingsdistributed.com/2021/07/reinventing-virtual-events.html
• HBR: *How to Write a Great Status Report* — https://hbr.org/2016/09/how-to-write-email-with-military-precision
• Your Harvest Hub roadmap and stories</t>
        </is>
      </c>
      <c r="P252" s="52" t="inlineStr">
        <is>
          <t>The test for all three is the same: could someone who missed the meeting act correctly on this alone? If they'd need to ask you a question first, it isn't finished.
---</t>
        </is>
      </c>
      <c r="Q252" s="52" t="inlineStr">
        <is>
          <t>—</t>
        </is>
      </c>
      <c r="R252" s="51" t="n"/>
      <c r="S252" s="52" t="n"/>
    </row>
    <row r="253" ht="42.75" customHeight="1" s="71">
      <c r="A253" s="48" t="n"/>
      <c r="B253" s="48" t="n"/>
      <c r="C253" s="48" t="n"/>
      <c r="D253" s="48" t="n"/>
      <c r="E253" s="48" t="n"/>
      <c r="F253" s="48" t="n"/>
      <c r="G253" s="48" t="n"/>
      <c r="H253" s="22" t="n">
        <v>2</v>
      </c>
      <c r="I253" s="23" t="inlineStr">
        <is>
          <t>Write a decision record for one trade-off you made: the decision, the alternatives, why you chose it, and what would make you revisit it. Under 150 words.</t>
        </is>
      </c>
      <c r="J253" s="24" t="inlineStr">
        <is>
          <t>To do</t>
        </is>
      </c>
      <c r="K253" s="25" t="n"/>
      <c r="L253" s="25" t="n"/>
      <c r="M253" s="26" t="n"/>
      <c r="N253" s="48" t="n"/>
      <c r="O253" s="48" t="n"/>
      <c r="P253" s="48" t="n"/>
      <c r="Q253" s="48" t="n"/>
      <c r="R253" s="48" t="n"/>
      <c r="S253" s="48" t="n"/>
    </row>
    <row r="254" ht="30" customHeight="1" s="71">
      <c r="A254" s="48" t="n"/>
      <c r="B254" s="48" t="n"/>
      <c r="C254" s="48" t="n"/>
      <c r="D254" s="48" t="n"/>
      <c r="E254" s="48" t="n"/>
      <c r="F254" s="48" t="n"/>
      <c r="G254" s="48" t="n"/>
      <c r="H254" s="22" t="n">
        <v>3</v>
      </c>
      <c r="I254" s="23" t="inlineStr">
        <is>
          <t>Write release notes for one feature, aimed at the ops team who will use it — not at engineers.</t>
        </is>
      </c>
      <c r="J254" s="24" t="inlineStr">
        <is>
          <t>To do</t>
        </is>
      </c>
      <c r="K254" s="25" t="n"/>
      <c r="L254" s="25" t="n"/>
      <c r="M254" s="26" t="n"/>
      <c r="N254" s="48" t="n"/>
      <c r="O254" s="48" t="n"/>
      <c r="P254" s="48" t="n"/>
      <c r="Q254" s="48" t="n"/>
      <c r="R254" s="48" t="n"/>
      <c r="S254" s="48" t="n"/>
    </row>
    <row r="255" ht="42.75" customHeight="1" s="71">
      <c r="A255" s="48" t="n"/>
      <c r="B255" s="48" t="n"/>
      <c r="C255" s="48" t="n"/>
      <c r="D255" s="48" t="n"/>
      <c r="E255" s="48" t="n"/>
      <c r="F255" s="48" t="n"/>
      <c r="G255" s="48" t="n"/>
      <c r="H255" s="22" t="n">
        <v>4</v>
      </c>
      <c r="I255" s="23" t="inlineStr">
        <is>
          <t>Ask Claude to read all three as the intended audience: *"You're a busy client sponsor who skims. What did you take away, and what did you miss?"*</t>
        </is>
      </c>
      <c r="J255" s="24" t="inlineStr">
        <is>
          <t>To do</t>
        </is>
      </c>
      <c r="K255" s="25" t="n"/>
      <c r="L255" s="25" t="n"/>
      <c r="M255" s="26" t="n"/>
      <c r="N255" s="48" t="n"/>
      <c r="O255" s="48" t="n"/>
      <c r="P255" s="48" t="n"/>
      <c r="Q255" s="48" t="n"/>
      <c r="R255" s="48" t="n"/>
      <c r="S255" s="48" t="n"/>
    </row>
    <row r="256" ht="30" customHeight="1" s="71">
      <c r="A256" s="49" t="n"/>
      <c r="B256" s="49" t="n"/>
      <c r="C256" s="49" t="n"/>
      <c r="D256" s="49" t="n"/>
      <c r="E256" s="49" t="n"/>
      <c r="F256" s="49" t="n"/>
      <c r="G256" s="49" t="n"/>
      <c r="H256" s="27" t="n">
        <v>5</v>
      </c>
      <c r="I256" s="28" t="inlineStr">
        <is>
          <t>Rewrite whichever one landed worst, then compare the two versions and note what changed.</t>
        </is>
      </c>
      <c r="J256" s="29" t="inlineStr">
        <is>
          <t>To do</t>
        </is>
      </c>
      <c r="K256" s="31" t="n"/>
      <c r="L256" s="31" t="n"/>
      <c r="M256" s="30" t="n"/>
      <c r="N256" s="49" t="n"/>
      <c r="O256" s="49" t="n"/>
      <c r="P256" s="49" t="n"/>
      <c r="Q256" s="49" t="n"/>
      <c r="R256" s="49" t="n"/>
      <c r="S256" s="49" t="n"/>
    </row>
    <row r="257" ht="30" customHeight="1" s="71">
      <c r="A257" s="65" t="inlineStr">
        <is>
          <t>5.12</t>
        </is>
      </c>
      <c r="B257" s="54" t="n">
        <v>5</v>
      </c>
      <c r="C257" s="64" t="inlineStr">
        <is>
          <t>Learn: Leadership</t>
        </is>
      </c>
      <c r="D257" s="54" t="inlineStr">
        <is>
          <t>Learn</t>
        </is>
      </c>
      <c r="E257" s="54" t="n">
        <v>3</v>
      </c>
      <c r="F257" s="47">
        <f>IF(COUNTIF($J257:$J261,"Done")=5,"Done",IF(COUNTIF($J257:$J261,"Blocked")&gt;0,"Blocked",IF(COUNTIF($J257:$J261,"To do")=5,"Not started","In progress")))</f>
        <v/>
      </c>
      <c r="G257" s="47">
        <f>IF(SUM($M257:$M261)=0,"",SUM($M257:$M261))</f>
        <v/>
      </c>
      <c r="H257" s="17" t="n">
        <v>1</v>
      </c>
      <c r="I257" s="18" t="inlineStr">
        <is>
          <t>Watch the main talk — it's long, so split it across two sittings and take notes.</t>
        </is>
      </c>
      <c r="J257" s="19" t="inlineStr">
        <is>
          <t>To do</t>
        </is>
      </c>
      <c r="K257" s="20" t="n"/>
      <c r="L257" s="20" t="n"/>
      <c r="M257" s="21" t="n"/>
      <c r="N257" s="53" t="inlineStr">
        <is>
          <t>You're not managing anyone yet, and this still matters. Leadership at your level means taking ownership of your work and influencing without authority.</t>
        </is>
      </c>
      <c r="O257" s="53" t="inlineStr">
        <is>
          <t>• *Leadership* — https://www.youtube.com/watch?v=eSvLFPFXjc8&amp;t=2561s
• Simon Sinek: *Start With Why* — https://www.youtube.com/watch?v=u4ZoJKF_VuA</t>
        </is>
      </c>
      <c r="P257" s="53" t="inlineStr">
        <is>
          <t>The most available form of leadership right now is reliability. Doing what you said you'd do, when you said you'd do it, makes you the person others want on their project.
---
---</t>
        </is>
      </c>
      <c r="Q257" s="53" t="inlineStr">
        <is>
          <t>—</t>
        </is>
      </c>
      <c r="R257" s="54" t="n"/>
      <c r="S257" s="53" t="n"/>
    </row>
    <row r="258" ht="30" customHeight="1" s="71">
      <c r="A258" s="48" t="n"/>
      <c r="B258" s="48" t="n"/>
      <c r="C258" s="48" t="n"/>
      <c r="D258" s="48" t="n"/>
      <c r="E258" s="48" t="n"/>
      <c r="F258" s="48" t="n"/>
      <c r="G258" s="48" t="n"/>
      <c r="H258" s="22" t="n">
        <v>2</v>
      </c>
      <c r="I258" s="23" t="inlineStr">
        <is>
          <t>Write down five leadership behaviours you can practise immediately without any title.</t>
        </is>
      </c>
      <c r="J258" s="24" t="inlineStr">
        <is>
          <t>To do</t>
        </is>
      </c>
      <c r="K258" s="25" t="n"/>
      <c r="L258" s="25" t="n"/>
      <c r="M258" s="26" t="n"/>
      <c r="N258" s="48" t="n"/>
      <c r="O258" s="48" t="n"/>
      <c r="P258" s="48" t="n"/>
      <c r="Q258" s="48" t="n"/>
      <c r="R258" s="48" t="n"/>
      <c r="S258" s="48" t="n"/>
    </row>
    <row r="259" ht="30" customHeight="1" s="71">
      <c r="A259" s="48" t="n"/>
      <c r="B259" s="48" t="n"/>
      <c r="C259" s="48" t="n"/>
      <c r="D259" s="48" t="n"/>
      <c r="E259" s="48" t="n"/>
      <c r="F259" s="48" t="n"/>
      <c r="G259" s="48" t="n"/>
      <c r="H259" s="22" t="n">
        <v>3</v>
      </c>
      <c r="I259" s="23" t="inlineStr">
        <is>
          <t>Think of a time you saw someone lead well and someone lead badly, and write what specifically made the difference.</t>
        </is>
      </c>
      <c r="J259" s="24" t="inlineStr">
        <is>
          <t>To do</t>
        </is>
      </c>
      <c r="K259" s="25" t="n"/>
      <c r="L259" s="25" t="n"/>
      <c r="M259" s="26" t="n"/>
      <c r="N259" s="48" t="n"/>
      <c r="O259" s="48" t="n"/>
      <c r="P259" s="48" t="n"/>
      <c r="Q259" s="48" t="n"/>
      <c r="R259" s="48" t="n"/>
      <c r="S259" s="48" t="n"/>
    </row>
    <row r="260" ht="42.75" customHeight="1" s="71">
      <c r="A260" s="48" t="n"/>
      <c r="B260" s="48" t="n"/>
      <c r="C260" s="48" t="n"/>
      <c r="D260" s="48" t="n"/>
      <c r="E260" s="48" t="n"/>
      <c r="F260" s="48" t="n"/>
      <c r="G260" s="48" t="n"/>
      <c r="H260" s="22" t="n">
        <v>4</v>
      </c>
      <c r="I260" s="23" t="inlineStr">
        <is>
          <t>Ask Claude: *"I'm a junior product manager with no direct reports. What does leadership actually look like at my level, in concrete daily behaviours?"*</t>
        </is>
      </c>
      <c r="J260" s="24" t="inlineStr">
        <is>
          <t>To do</t>
        </is>
      </c>
      <c r="K260" s="25" t="n"/>
      <c r="L260" s="25" t="n"/>
      <c r="M260" s="26" t="n"/>
      <c r="N260" s="48" t="n"/>
      <c r="O260" s="48" t="n"/>
      <c r="P260" s="48" t="n"/>
      <c r="Q260" s="48" t="n"/>
      <c r="R260" s="48" t="n"/>
      <c r="S260" s="48" t="n"/>
    </row>
    <row r="261" ht="30" customHeight="1" s="71">
      <c r="A261" s="49" t="n"/>
      <c r="B261" s="49" t="n"/>
      <c r="C261" s="49" t="n"/>
      <c r="D261" s="49" t="n"/>
      <c r="E261" s="49" t="n"/>
      <c r="F261" s="49" t="n"/>
      <c r="G261" s="49" t="n"/>
      <c r="H261" s="27" t="n">
        <v>5</v>
      </c>
      <c r="I261" s="28" t="inlineStr">
        <is>
          <t>Pick two behaviours to practise this month and note them in your journal.</t>
        </is>
      </c>
      <c r="J261" s="29" t="inlineStr">
        <is>
          <t>To do</t>
        </is>
      </c>
      <c r="K261" s="31" t="n"/>
      <c r="L261" s="31" t="n"/>
      <c r="M261" s="30" t="n"/>
      <c r="N261" s="49" t="n"/>
      <c r="O261" s="49" t="n"/>
      <c r="P261" s="49" t="n"/>
      <c r="Q261" s="49" t="n"/>
      <c r="R261" s="49" t="n"/>
      <c r="S261" s="49" t="n"/>
    </row>
    <row r="262" ht="19.5" customHeight="1" s="71">
      <c r="A262" s="60" t="inlineStr">
        <is>
          <t>5.13</t>
        </is>
      </c>
      <c r="B262" s="51" t="n">
        <v>5</v>
      </c>
      <c r="C262" s="50" t="inlineStr">
        <is>
          <t>Practise: Meetings and stakeholder communication</t>
        </is>
      </c>
      <c r="D262" s="51" t="inlineStr">
        <is>
          <t>Practise</t>
        </is>
      </c>
      <c r="E262" s="51" t="n">
        <v>3</v>
      </c>
      <c r="F262" s="55">
        <f>IF(COUNTIF($J262:$J266,"Done")=5,"Done",IF(COUNTIF($J262:$J266,"Blocked")&gt;0,"Blocked",IF(COUNTIF($J262:$J266,"To do")=5,"Not started","In progress")))</f>
        <v/>
      </c>
      <c r="G262" s="55">
        <f>IF(SUM($M262:$M266)=0,"",SUM($M262:$M266))</f>
        <v/>
      </c>
      <c r="H262" s="17" t="n">
        <v>1</v>
      </c>
      <c r="I262" s="18" t="inlineStr">
        <is>
          <t>Read both.</t>
        </is>
      </c>
      <c r="J262" s="19" t="inlineStr">
        <is>
          <t>To do</t>
        </is>
      </c>
      <c r="K262" s="20" t="n"/>
      <c r="L262" s="20" t="n"/>
      <c r="M262" s="21" t="n"/>
      <c r="N262" s="52" t="inlineStr">
        <is>
          <t>Much of your job happens in meetings. Learn to run one, and to present your work with confidence in the thinking behind it.</t>
        </is>
      </c>
      <c r="O262" s="52" t="inlineStr">
        <is>
          <t>• HBR: *How to Run a Great Virtual Meeting* — https://hbr.org/2020/03/how-to-run-a-great-virtual-meeting
• NN/g: *Presenting UX Work* — https://www.nngroup.com/articles/presenting-ux-work/</t>
        </is>
      </c>
      <c r="P262" s="52" t="inlineStr">
        <is>
          <t>Never open with "so this is just a rough idea, sorry". Present the reasoning, then invite critique. Confidence in the process isn't arrogance about the outcome.
---
---</t>
        </is>
      </c>
      <c r="Q262" s="52" t="inlineStr">
        <is>
          <t>—</t>
        </is>
      </c>
      <c r="R262" s="51" t="n"/>
      <c r="S262" s="52" t="n"/>
    </row>
    <row r="263" ht="30" customHeight="1" s="71">
      <c r="A263" s="48" t="n"/>
      <c r="B263" s="48" t="n"/>
      <c r="C263" s="48" t="n"/>
      <c r="D263" s="48" t="n"/>
      <c r="E263" s="48" t="n"/>
      <c r="F263" s="48" t="n"/>
      <c r="G263" s="48" t="n"/>
      <c r="H263" s="22" t="n">
        <v>2</v>
      </c>
      <c r="I263" s="23" t="inlineStr">
        <is>
          <t>Write an agenda template: purpose, attendees, timeboxed items, decisions needed, actions out.</t>
        </is>
      </c>
      <c r="J263" s="24" t="inlineStr">
        <is>
          <t>To do</t>
        </is>
      </c>
      <c r="K263" s="25" t="n"/>
      <c r="L263" s="25" t="n"/>
      <c r="M263" s="26" t="n"/>
      <c r="N263" s="48" t="n"/>
      <c r="O263" s="48" t="n"/>
      <c r="P263" s="48" t="n"/>
      <c r="Q263" s="48" t="n"/>
      <c r="R263" s="48" t="n"/>
      <c r="S263" s="48" t="n"/>
    </row>
    <row r="264" ht="42.75" customHeight="1" s="71">
      <c r="A264" s="48" t="n"/>
      <c r="B264" s="48" t="n"/>
      <c r="C264" s="48" t="n"/>
      <c r="D264" s="48" t="n"/>
      <c r="E264" s="48" t="n"/>
      <c r="F264" s="48" t="n"/>
      <c r="G264" s="48" t="n"/>
      <c r="H264" s="22" t="n">
        <v>3</v>
      </c>
      <c r="I264" s="23" t="inlineStr">
        <is>
          <t>Write a structure for presenting product work: the problem, the constraints, the options considered, the recommendation, what feedback you want.</t>
        </is>
      </c>
      <c r="J264" s="24" t="inlineStr">
        <is>
          <t>To do</t>
        </is>
      </c>
      <c r="K264" s="25" t="n"/>
      <c r="L264" s="25" t="n"/>
      <c r="M264" s="26" t="n"/>
      <c r="N264" s="48" t="n"/>
      <c r="O264" s="48" t="n"/>
      <c r="P264" s="48" t="n"/>
      <c r="Q264" s="48" t="n"/>
      <c r="R264" s="48" t="n"/>
      <c r="S264" s="48" t="n"/>
    </row>
    <row r="265" ht="30" customHeight="1" s="71">
      <c r="A265" s="48" t="n"/>
      <c r="B265" s="48" t="n"/>
      <c r="C265" s="48" t="n"/>
      <c r="D265" s="48" t="n"/>
      <c r="E265" s="48" t="n"/>
      <c r="F265" s="48" t="n"/>
      <c r="G265" s="48" t="n"/>
      <c r="H265" s="22" t="n">
        <v>4</v>
      </c>
      <c r="I265" s="23" t="inlineStr">
        <is>
          <t>Present your Harvest Hub screen to your mentor for fifteen minutes using that structure.</t>
        </is>
      </c>
      <c r="J265" s="24" t="inlineStr">
        <is>
          <t>To do</t>
        </is>
      </c>
      <c r="K265" s="25" t="n"/>
      <c r="L265" s="25" t="n"/>
      <c r="M265" s="26" t="n"/>
      <c r="N265" s="48" t="n"/>
      <c r="O265" s="48" t="n"/>
      <c r="P265" s="48" t="n"/>
      <c r="Q265" s="48" t="n"/>
      <c r="R265" s="48" t="n"/>
      <c r="S265" s="48" t="n"/>
    </row>
    <row r="266" ht="42.75" customHeight="1" s="71">
      <c r="A266" s="49" t="n"/>
      <c r="B266" s="49" t="n"/>
      <c r="C266" s="49" t="n"/>
      <c r="D266" s="49" t="n"/>
      <c r="E266" s="49" t="n"/>
      <c r="F266" s="49" t="n"/>
      <c r="G266" s="49" t="n"/>
      <c r="H266" s="27" t="n">
        <v>5</v>
      </c>
      <c r="I266" s="28" t="inlineStr">
        <is>
          <t>Ask Claude to rehearse you first: *"You're a thorough client who asks tough questions. I'll present my dashboard design. Ask me the three hardest ones."*</t>
        </is>
      </c>
      <c r="J266" s="29" t="inlineStr">
        <is>
          <t>To do</t>
        </is>
      </c>
      <c r="K266" s="31" t="n"/>
      <c r="L266" s="31" t="n"/>
      <c r="M266" s="30" t="n"/>
      <c r="N266" s="49" t="n"/>
      <c r="O266" s="49" t="n"/>
      <c r="P266" s="49" t="n"/>
      <c r="Q266" s="49" t="n"/>
      <c r="R266" s="49" t="n"/>
      <c r="S266" s="49" t="n"/>
    </row>
    <row r="267" ht="25.5" customHeight="1" s="71">
      <c r="A267" s="61" t="inlineStr">
        <is>
          <t xml:space="preserve">  Module 6 · Product Sense and AI Patterns — 32 hrs · 10 tasks</t>
        </is>
      </c>
      <c r="B267" s="62" t="n"/>
      <c r="C267" s="62" t="n"/>
      <c r="D267" s="62" t="n"/>
      <c r="E267" s="62" t="n"/>
      <c r="F267" s="62" t="n"/>
      <c r="G267" s="62" t="n"/>
      <c r="H267" s="62" t="n"/>
      <c r="I267" s="62" t="n"/>
      <c r="J267" s="62" t="n"/>
      <c r="K267" s="62" t="n"/>
      <c r="L267" s="62" t="n"/>
      <c r="M267" s="62" t="n"/>
      <c r="N267" s="62" t="n"/>
      <c r="O267" s="62" t="n"/>
      <c r="P267" s="62" t="n"/>
      <c r="Q267" s="62" t="n"/>
      <c r="R267" s="62" t="n"/>
      <c r="S267" s="63" t="n"/>
    </row>
    <row r="268" ht="18" customHeight="1" s="71">
      <c r="A268" s="59" t="inlineStr">
        <is>
          <t>Goal</t>
        </is>
      </c>
      <c r="B268" s="58" t="n"/>
      <c r="C268" s="56" t="inlineStr">
        <is>
          <t>I can argue for a product decision with evidence, and design AI features that are honest about being uncertain.</t>
        </is>
      </c>
      <c r="D268" s="57" t="n"/>
      <c r="E268" s="57" t="n"/>
      <c r="F268" s="57" t="n"/>
      <c r="G268" s="57" t="n"/>
      <c r="H268" s="57" t="n"/>
      <c r="I268" s="57" t="n"/>
      <c r="J268" s="57" t="n"/>
      <c r="K268" s="57" t="n"/>
      <c r="L268" s="57" t="n"/>
      <c r="M268" s="57" t="n"/>
      <c r="N268" s="57" t="n"/>
      <c r="O268" s="57" t="n"/>
      <c r="P268" s="57" t="n"/>
      <c r="Q268" s="57" t="n"/>
      <c r="R268" s="57" t="n"/>
      <c r="S268" s="58" t="n"/>
    </row>
    <row r="269" ht="18" customHeight="1" s="71">
      <c r="A269" s="59" t="inlineStr">
        <is>
          <t>About</t>
        </is>
      </c>
      <c r="B269" s="58" t="n"/>
      <c r="C269" s="56" t="inlineStr">
        <is>
          <t>Product sense is judgement about what to build and why. It's built from studying products deliberately and practising decisions under constraint. The last three tasks cover something specific to us: designing AI features, where the output is probabilistic and the interface has to be honest about that.
---</t>
        </is>
      </c>
      <c r="D269" s="57" t="n"/>
      <c r="E269" s="57" t="n"/>
      <c r="F269" s="57" t="n"/>
      <c r="G269" s="57" t="n"/>
      <c r="H269" s="57" t="n"/>
      <c r="I269" s="57" t="n"/>
      <c r="J269" s="57" t="n"/>
      <c r="K269" s="57" t="n"/>
      <c r="L269" s="57" t="n"/>
      <c r="M269" s="57" t="n"/>
      <c r="N269" s="57" t="n"/>
      <c r="O269" s="57" t="n"/>
      <c r="P269" s="57" t="n"/>
      <c r="Q269" s="57" t="n"/>
      <c r="R269" s="57" t="n"/>
      <c r="S269" s="58" t="n"/>
    </row>
    <row r="270" ht="18" customHeight="1" s="71">
      <c r="A270" s="59" t="inlineStr">
        <is>
          <t>Checkpoint</t>
        </is>
      </c>
      <c r="B270" s="58" t="n"/>
      <c r="C270" s="56" t="inlineStr">
        <is>
          <t>Bring: your product sense self-assessment, personas and journey map, metrics proposal with gaming analysis, two product teardowns, your event spec and funnel, five trade-off decisions, your Harvest Hub PRD, your search sketch, assistant failure copy, and your ClaimLens uncertainty states.
---</t>
        </is>
      </c>
      <c r="D270" s="57" t="n"/>
      <c r="E270" s="57" t="n"/>
      <c r="F270" s="57" t="n"/>
      <c r="G270" s="57" t="n"/>
      <c r="H270" s="57" t="n"/>
      <c r="I270" s="57" t="n"/>
      <c r="J270" s="57" t="n"/>
      <c r="K270" s="57" t="n"/>
      <c r="L270" s="57" t="n"/>
      <c r="M270" s="57" t="n"/>
      <c r="N270" s="57" t="n"/>
      <c r="O270" s="57" t="n"/>
      <c r="P270" s="57" t="n"/>
      <c r="Q270" s="57" t="n"/>
      <c r="R270" s="57" t="n"/>
      <c r="S270" s="58" t="n"/>
    </row>
    <row r="271" ht="30" customHeight="1" s="71">
      <c r="A271" s="65" t="inlineStr">
        <is>
          <t>6.1</t>
        </is>
      </c>
      <c r="B271" s="54" t="n">
        <v>6</v>
      </c>
      <c r="C271" s="64" t="inlineStr">
        <is>
          <t>Learn: What product sense is</t>
        </is>
      </c>
      <c r="D271" s="54" t="inlineStr">
        <is>
          <t>Learn</t>
        </is>
      </c>
      <c r="E271" s="54" t="n">
        <v>2</v>
      </c>
      <c r="F271" s="47">
        <f>IF(COUNTIF($J271:$J275,"Done")=5,"Done",IF(COUNTIF($J271:$J275,"Blocked")&gt;0,"Blocked",IF(COUNTIF($J271:$J275,"To do")=5,"Not started","In progress")))</f>
        <v/>
      </c>
      <c r="G271" s="47">
        <f>IF(SUM($M271:$M275)=0,"",SUM($M271:$M275))</f>
        <v/>
      </c>
      <c r="H271" s="17" t="n">
        <v>1</v>
      </c>
      <c r="I271" s="18" t="inlineStr">
        <is>
          <t>Read three SVPG articles and one on product sense specifically.</t>
        </is>
      </c>
      <c r="J271" s="19" t="inlineStr">
        <is>
          <t>To do</t>
        </is>
      </c>
      <c r="K271" s="20" t="n"/>
      <c r="L271" s="20" t="n"/>
      <c r="M271" s="21" t="n"/>
      <c r="N271" s="53" t="inlineStr">
        <is>
          <t>Define the thing before trying to build it. Product sense is a learnable skill with observable components.</t>
        </is>
      </c>
      <c r="O271" s="53" t="inlineStr">
        <is>
          <t>• Marty Cagan (SVPG) articles — https://www.svpg.com/articles/
• Lenny's Newsletter — https://www.lennysnewsletter.com/
• Julie Zhuo on product sense — https://medium.com/@joulee</t>
        </is>
      </c>
      <c r="P271" s="53" t="inlineStr">
        <is>
          <t>Rate yourself honestly at step 4, including the ones where you're a one out of five. Come back to this list at the end of Phase 2.
---
---</t>
        </is>
      </c>
      <c r="Q271" s="53" t="inlineStr">
        <is>
          <t>—</t>
        </is>
      </c>
      <c r="R271" s="54" t="n"/>
      <c r="S271" s="53" t="n"/>
    </row>
    <row r="272" ht="30" customHeight="1" s="71">
      <c r="A272" s="48" t="n"/>
      <c r="B272" s="48" t="n"/>
      <c r="C272" s="48" t="n"/>
      <c r="D272" s="48" t="n"/>
      <c r="E272" s="48" t="n"/>
      <c r="F272" s="48" t="n"/>
      <c r="G272" s="48" t="n"/>
      <c r="H272" s="22" t="n">
        <v>2</v>
      </c>
      <c r="I272" s="23" t="inlineStr">
        <is>
          <t>Write your own definition of product sense in four sentences.</t>
        </is>
      </c>
      <c r="J272" s="24" t="inlineStr">
        <is>
          <t>To do</t>
        </is>
      </c>
      <c r="K272" s="25" t="n"/>
      <c r="L272" s="25" t="n"/>
      <c r="M272" s="26" t="n"/>
      <c r="N272" s="48" t="n"/>
      <c r="O272" s="48" t="n"/>
      <c r="P272" s="48" t="n"/>
      <c r="Q272" s="48" t="n"/>
      <c r="R272" s="48" t="n"/>
      <c r="S272" s="48" t="n"/>
    </row>
    <row r="273" ht="42.75" customHeight="1" s="71">
      <c r="A273" s="48" t="n"/>
      <c r="B273" s="48" t="n"/>
      <c r="C273" s="48" t="n"/>
      <c r="D273" s="48" t="n"/>
      <c r="E273" s="48" t="n"/>
      <c r="F273" s="48" t="n"/>
      <c r="G273" s="48" t="n"/>
      <c r="H273" s="22" t="n">
        <v>3</v>
      </c>
      <c r="I273" s="23" t="inlineStr">
        <is>
          <t>List its components: user empathy, business understanding, technical feasibility awareness, taste, judgement under uncertainty.</t>
        </is>
      </c>
      <c r="J273" s="24" t="inlineStr">
        <is>
          <t>To do</t>
        </is>
      </c>
      <c r="K273" s="25" t="n"/>
      <c r="L273" s="25" t="n"/>
      <c r="M273" s="26" t="n"/>
      <c r="N273" s="48" t="n"/>
      <c r="O273" s="48" t="n"/>
      <c r="P273" s="48" t="n"/>
      <c r="Q273" s="48" t="n"/>
      <c r="R273" s="48" t="n"/>
      <c r="S273" s="48" t="n"/>
    </row>
    <row r="274" ht="30" customHeight="1" s="71">
      <c r="A274" s="48" t="n"/>
      <c r="B274" s="48" t="n"/>
      <c r="C274" s="48" t="n"/>
      <c r="D274" s="48" t="n"/>
      <c r="E274" s="48" t="n"/>
      <c r="F274" s="48" t="n"/>
      <c r="G274" s="48" t="n"/>
      <c r="H274" s="22" t="n">
        <v>4</v>
      </c>
      <c r="I274" s="23" t="inlineStr">
        <is>
          <t>Rate yourself honestly out of five on each and note what would move each score.</t>
        </is>
      </c>
      <c r="J274" s="24" t="inlineStr">
        <is>
          <t>To do</t>
        </is>
      </c>
      <c r="K274" s="25" t="n"/>
      <c r="L274" s="25" t="n"/>
      <c r="M274" s="26" t="n"/>
      <c r="N274" s="48" t="n"/>
      <c r="O274" s="48" t="n"/>
      <c r="P274" s="48" t="n"/>
      <c r="Q274" s="48" t="n"/>
      <c r="R274" s="48" t="n"/>
      <c r="S274" s="48" t="n"/>
    </row>
    <row r="275" ht="42.75" customHeight="1" s="71">
      <c r="A275" s="49" t="n"/>
      <c r="B275" s="49" t="n"/>
      <c r="C275" s="49" t="n"/>
      <c r="D275" s="49" t="n"/>
      <c r="E275" s="49" t="n"/>
      <c r="F275" s="49" t="n"/>
      <c r="G275" s="49" t="n"/>
      <c r="H275" s="27" t="n">
        <v>5</v>
      </c>
      <c r="I275" s="28" t="inlineStr">
        <is>
          <t>Ask Claude: *"For each of these five components of product sense, give me one exercise a junior product manager could do weekly to improve it."*</t>
        </is>
      </c>
      <c r="J275" s="29" t="inlineStr">
        <is>
          <t>To do</t>
        </is>
      </c>
      <c r="K275" s="31" t="n"/>
      <c r="L275" s="31" t="n"/>
      <c r="M275" s="30" t="n"/>
      <c r="N275" s="49" t="n"/>
      <c r="O275" s="49" t="n"/>
      <c r="P275" s="49" t="n"/>
      <c r="Q275" s="49" t="n"/>
      <c r="R275" s="49" t="n"/>
      <c r="S275" s="49" t="n"/>
    </row>
    <row r="276" ht="19.5" customHeight="1" s="71">
      <c r="A276" s="60" t="inlineStr">
        <is>
          <t>6.2</t>
        </is>
      </c>
      <c r="B276" s="51" t="n">
        <v>6</v>
      </c>
      <c r="C276" s="50" t="inlineStr">
        <is>
          <t>Learn: Users, jobs and personas</t>
        </is>
      </c>
      <c r="D276" s="51" t="inlineStr">
        <is>
          <t>Learn</t>
        </is>
      </c>
      <c r="E276" s="51" t="n">
        <v>3</v>
      </c>
      <c r="F276" s="55">
        <f>IF(COUNTIF($J276:$J280,"Done")=5,"Done",IF(COUNTIF($J276:$J280,"Blocked")&gt;0,"Blocked",IF(COUNTIF($J276:$J280,"To do")=5,"Not started","In progress")))</f>
        <v/>
      </c>
      <c r="G276" s="55">
        <f>IF(SUM($M276:$M280)=0,"",SUM($M276:$M280))</f>
        <v/>
      </c>
      <c r="H276" s="17" t="n">
        <v>1</v>
      </c>
      <c r="I276" s="18" t="inlineStr">
        <is>
          <t>Read all three.</t>
        </is>
      </c>
      <c r="J276" s="19" t="inlineStr">
        <is>
          <t>To do</t>
        </is>
      </c>
      <c r="K276" s="20" t="n"/>
      <c r="L276" s="20" t="n"/>
      <c r="M276" s="21" t="n"/>
      <c r="N276" s="52" t="inlineStr">
        <is>
          <t>Understand who you're building for in a way that survives contact with a real roadmap decision.</t>
        </is>
      </c>
      <c r="O276" s="52" t="inlineStr">
        <is>
          <t>• Jobs to be Done — https://jtbd.info/2-what-is-jobs-to-be-done-jtbd-a20f8b959d2e
• NN/g: *Personas* — https://www.nngroup.com/articles/persona/
• NN/g: *User Journey Mapping* — https://www.nngroup.com/articles/journey-mapping-101/</t>
        </is>
      </c>
      <c r="P276" s="52" t="inlineStr">
        <is>
          <t>A persona that includes someone's favourite coffee and not how many browser tabs they keep open isn't helping you. Keep only what changes decisions.
---
---</t>
        </is>
      </c>
      <c r="Q276" s="52" t="inlineStr">
        <is>
          <t>—</t>
        </is>
      </c>
      <c r="R276" s="51" t="n"/>
      <c r="S276" s="52" t="n"/>
    </row>
    <row r="277" ht="42.75" customHeight="1" s="71">
      <c r="A277" s="48" t="n"/>
      <c r="B277" s="48" t="n"/>
      <c r="C277" s="48" t="n"/>
      <c r="D277" s="48" t="n"/>
      <c r="E277" s="48" t="n"/>
      <c r="F277" s="48" t="n"/>
      <c r="G277" s="48" t="n"/>
      <c r="H277" s="22" t="n">
        <v>2</v>
      </c>
      <c r="I277" s="23" t="inlineStr">
        <is>
          <t>Write two personas for Harvest Hub — one primary, one secondary — including their goals, frustrations, technical comfort, and the context they work in.</t>
        </is>
      </c>
      <c r="J277" s="24" t="inlineStr">
        <is>
          <t>To do</t>
        </is>
      </c>
      <c r="K277" s="25" t="n"/>
      <c r="L277" s="25" t="n"/>
      <c r="M277" s="26" t="n"/>
      <c r="N277" s="48" t="n"/>
      <c r="O277" s="48" t="n"/>
      <c r="P277" s="48" t="n"/>
      <c r="Q277" s="48" t="n"/>
      <c r="R277" s="48" t="n"/>
      <c r="S277" s="48" t="n"/>
    </row>
    <row r="278" ht="19.5" customHeight="1" s="71">
      <c r="A278" s="48" t="n"/>
      <c r="B278" s="48" t="n"/>
      <c r="C278" s="48" t="n"/>
      <c r="D278" s="48" t="n"/>
      <c r="E278" s="48" t="n"/>
      <c r="F278" s="48" t="n"/>
      <c r="G278" s="48" t="n"/>
      <c r="H278" s="22" t="n">
        <v>3</v>
      </c>
      <c r="I278" s="23" t="inlineStr">
        <is>
          <t>Reframe each persona's need as a job-to-be-done statement.</t>
        </is>
      </c>
      <c r="J278" s="24" t="inlineStr">
        <is>
          <t>To do</t>
        </is>
      </c>
      <c r="K278" s="25" t="n"/>
      <c r="L278" s="25" t="n"/>
      <c r="M278" s="26" t="n"/>
      <c r="N278" s="48" t="n"/>
      <c r="O278" s="48" t="n"/>
      <c r="P278" s="48" t="n"/>
      <c r="Q278" s="48" t="n"/>
      <c r="R278" s="48" t="n"/>
      <c r="S278" s="48" t="n"/>
    </row>
    <row r="279" ht="30" customHeight="1" s="71">
      <c r="A279" s="48" t="n"/>
      <c r="B279" s="48" t="n"/>
      <c r="C279" s="48" t="n"/>
      <c r="D279" s="48" t="n"/>
      <c r="E279" s="48" t="n"/>
      <c r="F279" s="48" t="n"/>
      <c r="G279" s="48" t="n"/>
      <c r="H279" s="22" t="n">
        <v>4</v>
      </c>
      <c r="I279" s="23" t="inlineStr">
        <is>
          <t>Draw a journey map for the primary persona's most common day, marking pain points.</t>
        </is>
      </c>
      <c r="J279" s="24" t="inlineStr">
        <is>
          <t>To do</t>
        </is>
      </c>
      <c r="K279" s="25" t="n"/>
      <c r="L279" s="25" t="n"/>
      <c r="M279" s="26" t="n"/>
      <c r="N279" s="48" t="n"/>
      <c r="O279" s="48" t="n"/>
      <c r="P279" s="48" t="n"/>
      <c r="Q279" s="48" t="n"/>
      <c r="R279" s="48" t="n"/>
      <c r="S279" s="48" t="n"/>
    </row>
    <row r="280" ht="42.75" customHeight="1" s="71">
      <c r="A280" s="49" t="n"/>
      <c r="B280" s="49" t="n"/>
      <c r="C280" s="49" t="n"/>
      <c r="D280" s="49" t="n"/>
      <c r="E280" s="49" t="n"/>
      <c r="F280" s="49" t="n"/>
      <c r="G280" s="49" t="n"/>
      <c r="H280" s="27" t="n">
        <v>5</v>
      </c>
      <c r="I280" s="28" t="inlineStr">
        <is>
          <t>Ask Claude: *"Critique these personas. Which details are decorative and which would actually change a design decision?"*</t>
        </is>
      </c>
      <c r="J280" s="29" t="inlineStr">
        <is>
          <t>To do</t>
        </is>
      </c>
      <c r="K280" s="31" t="n"/>
      <c r="L280" s="31" t="n"/>
      <c r="M280" s="30" t="n"/>
      <c r="N280" s="49" t="n"/>
      <c r="O280" s="49" t="n"/>
      <c r="P280" s="49" t="n"/>
      <c r="Q280" s="49" t="n"/>
      <c r="R280" s="49" t="n"/>
      <c r="S280" s="49" t="n"/>
    </row>
    <row r="281" ht="19.5" customHeight="1" s="71">
      <c r="A281" s="65" t="inlineStr">
        <is>
          <t>6.3</t>
        </is>
      </c>
      <c r="B281" s="54" t="n">
        <v>6</v>
      </c>
      <c r="C281" s="64" t="inlineStr">
        <is>
          <t>Learn: Metrics that matter</t>
        </is>
      </c>
      <c r="D281" s="54" t="inlineStr">
        <is>
          <t>Learn</t>
        </is>
      </c>
      <c r="E281" s="54" t="n">
        <v>3</v>
      </c>
      <c r="F281" s="47">
        <f>IF(COUNTIF($J281:$J285,"Done")=5,"Done",IF(COUNTIF($J281:$J285,"Blocked")&gt;0,"Blocked",IF(COUNTIF($J281:$J285,"To do")=5,"Not started","In progress")))</f>
        <v/>
      </c>
      <c r="G281" s="47">
        <f>IF(SUM($M281:$M285)=0,"",SUM($M281:$M285))</f>
        <v/>
      </c>
      <c r="H281" s="17" t="n">
        <v>1</v>
      </c>
      <c r="I281" s="18" t="inlineStr">
        <is>
          <t>Read all three.</t>
        </is>
      </c>
      <c r="J281" s="19" t="inlineStr">
        <is>
          <t>To do</t>
        </is>
      </c>
      <c r="K281" s="20" t="n"/>
      <c r="L281" s="20" t="n"/>
      <c r="M281" s="21" t="n"/>
      <c r="N281" s="53" t="inlineStr">
        <is>
          <t>Products are judged by numbers. Learn which ones, what they mean, and how they get gamed.</t>
        </is>
      </c>
      <c r="O281" s="53" t="inlineStr">
        <is>
          <t>• Amplitude: *North Star Metric* — https://amplitude.com/blog/north-star-metric
• Google HEART framework — https://www.dtelepathy.com/ux-metrics/
• Goodhart's Law — https://en.wikipedia.org/wiki/Goodhart%27s_law</t>
        </is>
      </c>
      <c r="P281" s="53" t="inlineStr">
        <is>
          <t>Step 4 is the important one. Every metric can be gamed, and knowing how is what stops you accidentally optimising for the wrong thing.
---
---</t>
        </is>
      </c>
      <c r="Q281" s="53" t="inlineStr">
        <is>
          <t>—</t>
        </is>
      </c>
      <c r="R281" s="54" t="n"/>
      <c r="S281" s="53" t="n"/>
    </row>
    <row r="282" ht="30" customHeight="1" s="71">
      <c r="A282" s="48" t="n"/>
      <c r="B282" s="48" t="n"/>
      <c r="C282" s="48" t="n"/>
      <c r="D282" s="48" t="n"/>
      <c r="E282" s="48" t="n"/>
      <c r="F282" s="48" t="n"/>
      <c r="G282" s="48" t="n"/>
      <c r="H282" s="22" t="n">
        <v>2</v>
      </c>
      <c r="I282" s="23" t="inlineStr">
        <is>
          <t>Define: activation, retention, engagement, conversion, churn, task success rate, time on task.</t>
        </is>
      </c>
      <c r="J282" s="24" t="inlineStr">
        <is>
          <t>To do</t>
        </is>
      </c>
      <c r="K282" s="25" t="n"/>
      <c r="L282" s="25" t="n"/>
      <c r="M282" s="26" t="n"/>
      <c r="N282" s="48" t="n"/>
      <c r="O282" s="48" t="n"/>
      <c r="P282" s="48" t="n"/>
      <c r="Q282" s="48" t="n"/>
      <c r="R282" s="48" t="n"/>
      <c r="S282" s="48" t="n"/>
    </row>
    <row r="283" ht="30" customHeight="1" s="71">
      <c r="A283" s="48" t="n"/>
      <c r="B283" s="48" t="n"/>
      <c r="C283" s="48" t="n"/>
      <c r="D283" s="48" t="n"/>
      <c r="E283" s="48" t="n"/>
      <c r="F283" s="48" t="n"/>
      <c r="G283" s="48" t="n"/>
      <c r="H283" s="22" t="n">
        <v>3</v>
      </c>
      <c r="I283" s="23" t="inlineStr">
        <is>
          <t>For Harvest Hub, propose one north star metric and four supporting metrics, using HEART as a frame.</t>
        </is>
      </c>
      <c r="J283" s="24" t="inlineStr">
        <is>
          <t>To do</t>
        </is>
      </c>
      <c r="K283" s="25" t="n"/>
      <c r="L283" s="25" t="n"/>
      <c r="M283" s="26" t="n"/>
      <c r="N283" s="48" t="n"/>
      <c r="O283" s="48" t="n"/>
      <c r="P283" s="48" t="n"/>
      <c r="Q283" s="48" t="n"/>
      <c r="R283" s="48" t="n"/>
      <c r="S283" s="48" t="n"/>
    </row>
    <row r="284" ht="30" customHeight="1" s="71">
      <c r="A284" s="48" t="n"/>
      <c r="B284" s="48" t="n"/>
      <c r="C284" s="48" t="n"/>
      <c r="D284" s="48" t="n"/>
      <c r="E284" s="48" t="n"/>
      <c r="F284" s="48" t="n"/>
      <c r="G284" s="48" t="n"/>
      <c r="H284" s="22" t="n">
        <v>4</v>
      </c>
      <c r="I284" s="23" t="inlineStr">
        <is>
          <t>For each metric, write down how a team could improve the number while making the product worse.</t>
        </is>
      </c>
      <c r="J284" s="24" t="inlineStr">
        <is>
          <t>To do</t>
        </is>
      </c>
      <c r="K284" s="25" t="n"/>
      <c r="L284" s="25" t="n"/>
      <c r="M284" s="26" t="n"/>
      <c r="N284" s="48" t="n"/>
      <c r="O284" s="48" t="n"/>
      <c r="P284" s="48" t="n"/>
      <c r="Q284" s="48" t="n"/>
      <c r="R284" s="48" t="n"/>
      <c r="S284" s="48" t="n"/>
    </row>
    <row r="285" ht="42.75" customHeight="1" s="71">
      <c r="A285" s="49" t="n"/>
      <c r="B285" s="49" t="n"/>
      <c r="C285" s="49" t="n"/>
      <c r="D285" s="49" t="n"/>
      <c r="E285" s="49" t="n"/>
      <c r="F285" s="49" t="n"/>
      <c r="G285" s="49" t="n"/>
      <c r="H285" s="27" t="n">
        <v>5</v>
      </c>
      <c r="I285" s="28" t="inlineStr">
        <is>
          <t>Ask Claude: *"Here are my proposed metrics for a B2B dashboard. Which of these are vanity metrics, and which would actually tell me the product is working?"*</t>
        </is>
      </c>
      <c r="J285" s="29" t="inlineStr">
        <is>
          <t>To do</t>
        </is>
      </c>
      <c r="K285" s="31" t="n"/>
      <c r="L285" s="31" t="n"/>
      <c r="M285" s="30" t="n"/>
      <c r="N285" s="49" t="n"/>
      <c r="O285" s="49" t="n"/>
      <c r="P285" s="49" t="n"/>
      <c r="Q285" s="49" t="n"/>
      <c r="R285" s="49" t="n"/>
      <c r="S285" s="49" t="n"/>
    </row>
    <row r="286" ht="19.5" customHeight="1" s="71">
      <c r="A286" s="60" t="inlineStr">
        <is>
          <t>6.4</t>
        </is>
      </c>
      <c r="B286" s="51" t="n">
        <v>6</v>
      </c>
      <c r="C286" s="50" t="inlineStr">
        <is>
          <t>Practise: Product teardowns</t>
        </is>
      </c>
      <c r="D286" s="51" t="inlineStr">
        <is>
          <t>Practise</t>
        </is>
      </c>
      <c r="E286" s="51" t="n">
        <v>4</v>
      </c>
      <c r="F286" s="55">
        <f>IF(COUNTIF($J286:$J290,"Done")=5,"Done",IF(COUNTIF($J286:$J290,"Blocked")&gt;0,"Blocked",IF(COUNTIF($J286:$J290,"To do")=5,"Not started","In progress")))</f>
        <v/>
      </c>
      <c r="G286" s="55">
        <f>IF(SUM($M286:$M290)=0,"",SUM($M286:$M290))</f>
        <v/>
      </c>
      <c r="H286" s="17" t="n">
        <v>1</v>
      </c>
      <c r="I286" s="18" t="inlineStr">
        <is>
          <t>Read two more case studies to internalise the format.</t>
        </is>
      </c>
      <c r="J286" s="19" t="inlineStr">
        <is>
          <t>To do</t>
        </is>
      </c>
      <c r="K286" s="20" t="n"/>
      <c r="L286" s="20" t="n"/>
      <c r="M286" s="21" t="n"/>
      <c r="N286" s="52" t="inlineStr">
        <is>
          <t>Structured analysis of why a product is the way it is. The best exercise for building judgement quickly.</t>
        </is>
      </c>
      <c r="O286" s="52" t="inlineStr">
        <is>
          <t>• Growth.Design case studies — https://growth.design/case-studies
• Your reference library</t>
        </is>
      </c>
      <c r="P286" s="52" t="inlineStr">
        <is>
          <t>Doing this monthly for the rest of your career will make you better at this job than almost anything else you could do with the same hour.
---
---</t>
        </is>
      </c>
      <c r="Q286" s="52" t="inlineStr">
        <is>
          <t>—</t>
        </is>
      </c>
      <c r="R286" s="51" t="n"/>
      <c r="S286" s="52" t="n"/>
    </row>
    <row r="287" ht="55.5" customHeight="1" s="71">
      <c r="A287" s="48" t="n"/>
      <c r="B287" s="48" t="n"/>
      <c r="C287" s="48" t="n"/>
      <c r="D287" s="48" t="n"/>
      <c r="E287" s="48" t="n"/>
      <c r="F287" s="48" t="n"/>
      <c r="G287" s="48" t="n"/>
      <c r="H287" s="22" t="n">
        <v>2</v>
      </c>
      <c r="I287" s="23" t="inlineStr">
        <is>
          <t>Pick a product you use regularly and write a full teardown: who it's for, what job it does, how it makes money, its three best decisions, its three worst, and what you'd do next if you owned it.</t>
        </is>
      </c>
      <c r="J287" s="24" t="inlineStr">
        <is>
          <t>To do</t>
        </is>
      </c>
      <c r="K287" s="25" t="n"/>
      <c r="L287" s="25" t="n"/>
      <c r="M287" s="26" t="n"/>
      <c r="N287" s="48" t="n"/>
      <c r="O287" s="48" t="n"/>
      <c r="P287" s="48" t="n"/>
      <c r="Q287" s="48" t="n"/>
      <c r="R287" s="48" t="n"/>
      <c r="S287" s="48" t="n"/>
    </row>
    <row r="288" ht="30" customHeight="1" s="71">
      <c r="A288" s="48" t="n"/>
      <c r="B288" s="48" t="n"/>
      <c r="C288" s="48" t="n"/>
      <c r="D288" s="48" t="n"/>
      <c r="E288" s="48" t="n"/>
      <c r="F288" s="48" t="n"/>
      <c r="G288" s="48" t="n"/>
      <c r="H288" s="22" t="n">
        <v>3</v>
      </c>
      <c r="I288" s="23" t="inlineStr">
        <is>
          <t>Include one decision that seems bad but probably isn't, and explain the likely reasoning.</t>
        </is>
      </c>
      <c r="J288" s="24" t="inlineStr">
        <is>
          <t>To do</t>
        </is>
      </c>
      <c r="K288" s="25" t="n"/>
      <c r="L288" s="25" t="n"/>
      <c r="M288" s="26" t="n"/>
      <c r="N288" s="48" t="n"/>
      <c r="O288" s="48" t="n"/>
      <c r="P288" s="48" t="n"/>
      <c r="Q288" s="48" t="n"/>
      <c r="R288" s="48" t="n"/>
      <c r="S288" s="48" t="n"/>
    </row>
    <row r="289" ht="30" customHeight="1" s="71">
      <c r="A289" s="48" t="n"/>
      <c r="B289" s="48" t="n"/>
      <c r="C289" s="48" t="n"/>
      <c r="D289" s="48" t="n"/>
      <c r="E289" s="48" t="n"/>
      <c r="F289" s="48" t="n"/>
      <c r="G289" s="48" t="n"/>
      <c r="H289" s="22" t="n">
        <v>4</v>
      </c>
      <c r="I289" s="23" t="inlineStr">
        <is>
          <t>Ask Claude to play devil's advocate on your "what I'd do next".</t>
        </is>
      </c>
      <c r="J289" s="24" t="inlineStr">
        <is>
          <t>To do</t>
        </is>
      </c>
      <c r="K289" s="25" t="n"/>
      <c r="L289" s="25" t="n"/>
      <c r="M289" s="26" t="n"/>
      <c r="N289" s="48" t="n"/>
      <c r="O289" s="48" t="n"/>
      <c r="P289" s="48" t="n"/>
      <c r="Q289" s="48" t="n"/>
      <c r="R289" s="48" t="n"/>
      <c r="S289" s="48" t="n"/>
    </row>
    <row r="290" ht="30" customHeight="1" s="71">
      <c r="A290" s="49" t="n"/>
      <c r="B290" s="49" t="n"/>
      <c r="C290" s="49" t="n"/>
      <c r="D290" s="49" t="n"/>
      <c r="E290" s="49" t="n"/>
      <c r="F290" s="49" t="n"/>
      <c r="G290" s="49" t="n"/>
      <c r="H290" s="27" t="n">
        <v>5</v>
      </c>
      <c r="I290" s="28" t="inlineStr">
        <is>
          <t>Repeat with a second product from a completely different category.</t>
        </is>
      </c>
      <c r="J290" s="29" t="inlineStr">
        <is>
          <t>To do</t>
        </is>
      </c>
      <c r="K290" s="31" t="n"/>
      <c r="L290" s="31" t="n"/>
      <c r="M290" s="30" t="n"/>
      <c r="N290" s="49" t="n"/>
      <c r="O290" s="49" t="n"/>
      <c r="P290" s="49" t="n"/>
      <c r="Q290" s="49" t="n"/>
      <c r="R290" s="49" t="n"/>
      <c r="S290" s="49" t="n"/>
    </row>
    <row r="291" ht="30" customHeight="1" s="71">
      <c r="A291" s="65" t="inlineStr">
        <is>
          <t>6.5</t>
        </is>
      </c>
      <c r="B291" s="54" t="n">
        <v>6</v>
      </c>
      <c r="C291" s="64" t="inlineStr">
        <is>
          <t>Build: Instrumentation — knowing whether it worked</t>
        </is>
      </c>
      <c r="D291" s="54" t="inlineStr">
        <is>
          <t>Build</t>
        </is>
      </c>
      <c r="E291" s="54" t="n">
        <v>4</v>
      </c>
      <c r="F291" s="47">
        <f>IF(COUNTIF($J291:$J295,"Done")=5,"Done",IF(COUNTIF($J291:$J295,"Blocked")&gt;0,"Blocked",IF(COUNTIF($J291:$J295,"To do")=5,"Not started","In progress")))</f>
        <v/>
      </c>
      <c r="G291" s="47">
        <f>IF(SUM($M291:$M295)=0,"",SUM($M291:$M295))</f>
        <v/>
      </c>
      <c r="H291" s="17" t="n">
        <v>1</v>
      </c>
      <c r="I291" s="18" t="inlineStr">
        <is>
          <t>Read the event tracking material and note the difference between an event, a property and a user trait.</t>
        </is>
      </c>
      <c r="J291" s="19" t="inlineStr">
        <is>
          <t>To do</t>
        </is>
      </c>
      <c r="K291" s="20" t="n"/>
      <c r="L291" s="20" t="n"/>
      <c r="M291" s="21" t="n"/>
      <c r="N291" s="53" t="inlineStr">
        <is>
          <t>Task 5.3 taught you to choose metrics. This one closes the loop: what has to be logged for that metric to exist, and what a funnel actually tells you. A metric nobody instrumented is a wish.</t>
        </is>
      </c>
      <c r="O291" s="53" t="inlineStr">
        <is>
          <t>• Amplitude: *Event tracking basics* — https://amplitude.com/blog/event-tracking
• Google Analytics: *Events* — https://support.google.com/analytics/answer/9322688
• Amplitude: *North Star Metric* — https://amplitude.com/blog/north-star-metric
• Your metrics work from Task 5.3</t>
        </is>
      </c>
      <c r="P291" s="53" t="inlineStr">
        <is>
          <t>Instrumentation is the requirement most often remembered after launch, when it's too late to have the data. Putting it in the acceptance criteria while the story is being written is entirely your job.
---</t>
        </is>
      </c>
      <c r="Q291" s="53" t="inlineStr">
        <is>
          <t>5.3</t>
        </is>
      </c>
      <c r="R291" s="54" t="n"/>
      <c r="S291" s="53" t="n"/>
    </row>
    <row r="292" ht="42.75" customHeight="1" s="71">
      <c r="A292" s="48" t="n"/>
      <c r="B292" s="48" t="n"/>
      <c r="C292" s="48" t="n"/>
      <c r="D292" s="48" t="n"/>
      <c r="E292" s="48" t="n"/>
      <c r="F292" s="48" t="n"/>
      <c r="G292" s="48" t="n"/>
      <c r="H292" s="22" t="n">
        <v>2</v>
      </c>
      <c r="I292" s="23" t="inlineStr">
        <is>
          <t>Take your north star metric for Harvest Hub and write the event spec needed to measure it: event name, when it fires, and every property to capture.</t>
        </is>
      </c>
      <c r="J292" s="24" t="inlineStr">
        <is>
          <t>To do</t>
        </is>
      </c>
      <c r="K292" s="25" t="n"/>
      <c r="L292" s="25" t="n"/>
      <c r="M292" s="26" t="n"/>
      <c r="N292" s="48" t="n"/>
      <c r="O292" s="48" t="n"/>
      <c r="P292" s="48" t="n"/>
      <c r="Q292" s="48" t="n"/>
      <c r="R292" s="48" t="n"/>
      <c r="S292" s="48" t="n"/>
    </row>
    <row r="293" ht="30" customHeight="1" s="71">
      <c r="A293" s="48" t="n"/>
      <c r="B293" s="48" t="n"/>
      <c r="C293" s="48" t="n"/>
      <c r="D293" s="48" t="n"/>
      <c r="E293" s="48" t="n"/>
      <c r="F293" s="48" t="n"/>
      <c r="G293" s="48" t="n"/>
      <c r="H293" s="22" t="n">
        <v>3</v>
      </c>
      <c r="I293" s="23" t="inlineStr">
        <is>
          <t>Do the same for one funnel — three or four steps from start to completion — and state what each drop-off would mean.</t>
        </is>
      </c>
      <c r="J293" s="24" t="inlineStr">
        <is>
          <t>To do</t>
        </is>
      </c>
      <c r="K293" s="25" t="n"/>
      <c r="L293" s="25" t="n"/>
      <c r="M293" s="26" t="n"/>
      <c r="N293" s="48" t="n"/>
      <c r="O293" s="48" t="n"/>
      <c r="P293" s="48" t="n"/>
      <c r="Q293" s="48" t="n"/>
      <c r="R293" s="48" t="n"/>
      <c r="S293" s="48" t="n"/>
    </row>
    <row r="294" ht="30" customHeight="1" s="71">
      <c r="A294" s="48" t="n"/>
      <c r="B294" s="48" t="n"/>
      <c r="C294" s="48" t="n"/>
      <c r="D294" s="48" t="n"/>
      <c r="E294" s="48" t="n"/>
      <c r="F294" s="48" t="n"/>
      <c r="G294" s="48" t="n"/>
      <c r="H294" s="22" t="n">
        <v>4</v>
      </c>
      <c r="I294" s="23" t="inlineStr">
        <is>
          <t>Write the instrumentation as acceptance criteria on a user story, in the form a developer could build from.</t>
        </is>
      </c>
      <c r="J294" s="24" t="inlineStr">
        <is>
          <t>To do</t>
        </is>
      </c>
      <c r="K294" s="25" t="n"/>
      <c r="L294" s="25" t="n"/>
      <c r="M294" s="26" t="n"/>
      <c r="N294" s="48" t="n"/>
      <c r="O294" s="48" t="n"/>
      <c r="P294" s="48" t="n"/>
      <c r="Q294" s="48" t="n"/>
      <c r="R294" s="48" t="n"/>
      <c r="S294" s="48" t="n"/>
    </row>
    <row r="295" ht="42.75" customHeight="1" s="71">
      <c r="A295" s="49" t="n"/>
      <c r="B295" s="49" t="n"/>
      <c r="C295" s="49" t="n"/>
      <c r="D295" s="49" t="n"/>
      <c r="E295" s="49" t="n"/>
      <c r="F295" s="49" t="n"/>
      <c r="G295" s="49" t="n"/>
      <c r="H295" s="27" t="n">
        <v>5</v>
      </c>
      <c r="I295" s="28" t="inlineStr">
        <is>
          <t>Ask Claude: *"Here's my event spec. What will I be unable to answer six months from now because I didn't capture it?"*</t>
        </is>
      </c>
      <c r="J295" s="29" t="inlineStr">
        <is>
          <t>To do</t>
        </is>
      </c>
      <c r="K295" s="31" t="n"/>
      <c r="L295" s="31" t="n"/>
      <c r="M295" s="30" t="n"/>
      <c r="N295" s="49" t="n"/>
      <c r="O295" s="49" t="n"/>
      <c r="P295" s="49" t="n"/>
      <c r="Q295" s="49" t="n"/>
      <c r="R295" s="49" t="n"/>
      <c r="S295" s="49" t="n"/>
    </row>
    <row r="296" ht="69" customHeight="1" s="71">
      <c r="A296" s="60" t="inlineStr">
        <is>
          <t>6.6</t>
        </is>
      </c>
      <c r="B296" s="51" t="n">
        <v>6</v>
      </c>
      <c r="C296" s="50" t="inlineStr">
        <is>
          <t>Practise: Trade-offs under constraint</t>
        </is>
      </c>
      <c r="D296" s="51" t="inlineStr">
        <is>
          <t>Practise</t>
        </is>
      </c>
      <c r="E296" s="51" t="n">
        <v>3</v>
      </c>
      <c r="F296" s="55">
        <f>IF(COUNTIF($J296:$J300,"Done")=5,"Done",IF(COUNTIF($J296:$J300,"Blocked")&gt;0,"Blocked",IF(COUNTIF($J296:$J300,"To do")=5,"Not started","In progress")))</f>
        <v/>
      </c>
      <c r="G296" s="55">
        <f>IF(SUM($M296:$M300)=0,"",SUM($M296:$M300))</f>
        <v/>
      </c>
      <c r="H296" s="17" t="n">
        <v>1</v>
      </c>
      <c r="I296" s="18" t="inlineStr">
        <is>
          <t>Have Claude generate five hard scenarios: *"Give me five realistic product trade-off scenarios for a B2B dashboard project — each with a real tension between user need, business goal, and engineering cost. Don't include the answers."*</t>
        </is>
      </c>
      <c r="J296" s="19" t="inlineStr">
        <is>
          <t>To do</t>
        </is>
      </c>
      <c r="K296" s="20" t="n"/>
      <c r="L296" s="20" t="n"/>
      <c r="M296" s="21" t="n"/>
      <c r="N296" s="52" t="inlineStr">
        <is>
          <t>Real product decisions are made with too little information and too little time. Practise making them anyway.</t>
        </is>
      </c>
      <c r="O296" s="52" t="inlineStr">
        <is>
          <t>• Your Harvest Hub work
• MoSCoW and RICE from Task 5.9</t>
        </is>
      </c>
      <c r="P296" s="52" t="inlineStr">
        <is>
          <t>"What evidence would change my mind" is the most important sentence in this task. A decision you'd never revise isn't a judgement, it's a belief.
---
---</t>
        </is>
      </c>
      <c r="Q296" s="52" t="inlineStr">
        <is>
          <t>5.9</t>
        </is>
      </c>
      <c r="R296" s="51" t="n"/>
      <c r="S296" s="52" t="n"/>
    </row>
    <row r="297" ht="42.75" customHeight="1" s="71">
      <c r="A297" s="48" t="n"/>
      <c r="B297" s="48" t="n"/>
      <c r="C297" s="48" t="n"/>
      <c r="D297" s="48" t="n"/>
      <c r="E297" s="48" t="n"/>
      <c r="F297" s="48" t="n"/>
      <c r="G297" s="48" t="n"/>
      <c r="H297" s="22" t="n">
        <v>2</v>
      </c>
      <c r="I297" s="23" t="inlineStr">
        <is>
          <t>For each, write your decision in one paragraph: what you'd do, what you're giving up, and what evidence would change your mind.</t>
        </is>
      </c>
      <c r="J297" s="24" t="inlineStr">
        <is>
          <t>To do</t>
        </is>
      </c>
      <c r="K297" s="25" t="n"/>
      <c r="L297" s="25" t="n"/>
      <c r="M297" s="26" t="n"/>
      <c r="N297" s="48" t="n"/>
      <c r="O297" s="48" t="n"/>
      <c r="P297" s="48" t="n"/>
      <c r="Q297" s="48" t="n"/>
      <c r="R297" s="48" t="n"/>
      <c r="S297" s="48" t="n"/>
    </row>
    <row r="298" ht="19.5" customHeight="1" s="71">
      <c r="A298" s="48" t="n"/>
      <c r="B298" s="48" t="n"/>
      <c r="C298" s="48" t="n"/>
      <c r="D298" s="48" t="n"/>
      <c r="E298" s="48" t="n"/>
      <c r="F298" s="48" t="n"/>
      <c r="G298" s="48" t="n"/>
      <c r="H298" s="22" t="n">
        <v>3</v>
      </c>
      <c r="I298" s="23" t="inlineStr">
        <is>
          <t>Then ask Claude to argue the opposite decision for each.</t>
        </is>
      </c>
      <c r="J298" s="24" t="inlineStr">
        <is>
          <t>To do</t>
        </is>
      </c>
      <c r="K298" s="25" t="n"/>
      <c r="L298" s="25" t="n"/>
      <c r="M298" s="26" t="n"/>
      <c r="N298" s="48" t="n"/>
      <c r="O298" s="48" t="n"/>
      <c r="P298" s="48" t="n"/>
      <c r="Q298" s="48" t="n"/>
      <c r="R298" s="48" t="n"/>
      <c r="S298" s="48" t="n"/>
    </row>
    <row r="299" ht="19.5" customHeight="1" s="71">
      <c r="A299" s="48" t="n"/>
      <c r="B299" s="48" t="n"/>
      <c r="C299" s="48" t="n"/>
      <c r="D299" s="48" t="n"/>
      <c r="E299" s="48" t="n"/>
      <c r="F299" s="48" t="n"/>
      <c r="G299" s="48" t="n"/>
      <c r="H299" s="22" t="n">
        <v>4</v>
      </c>
      <c r="I299" s="23" t="inlineStr">
        <is>
          <t>Note which of your five decisions you'd now reverse.</t>
        </is>
      </c>
      <c r="J299" s="24" t="inlineStr">
        <is>
          <t>To do</t>
        </is>
      </c>
      <c r="K299" s="25" t="n"/>
      <c r="L299" s="25" t="n"/>
      <c r="M299" s="26" t="n"/>
      <c r="N299" s="48" t="n"/>
      <c r="O299" s="48" t="n"/>
      <c r="P299" s="48" t="n"/>
      <c r="Q299" s="48" t="n"/>
      <c r="R299" s="48" t="n"/>
      <c r="S299" s="48" t="n"/>
    </row>
    <row r="300" ht="19.5" customHeight="1" s="71">
      <c r="A300" s="49" t="n"/>
      <c r="B300" s="49" t="n"/>
      <c r="C300" s="49" t="n"/>
      <c r="D300" s="49" t="n"/>
      <c r="E300" s="49" t="n"/>
      <c r="F300" s="49" t="n"/>
      <c r="G300" s="49" t="n"/>
      <c r="H300" s="27" t="n">
        <v>5</v>
      </c>
      <c r="I300" s="28" t="inlineStr">
        <is>
          <t>Journal what pattern you notice in the ones you got wrong.</t>
        </is>
      </c>
      <c r="J300" s="29" t="inlineStr">
        <is>
          <t>To do</t>
        </is>
      </c>
      <c r="K300" s="31" t="n"/>
      <c r="L300" s="31" t="n"/>
      <c r="M300" s="30" t="n"/>
      <c r="N300" s="49" t="n"/>
      <c r="O300" s="49" t="n"/>
      <c r="P300" s="49" t="n"/>
      <c r="Q300" s="49" t="n"/>
      <c r="R300" s="49" t="n"/>
      <c r="S300" s="49" t="n"/>
    </row>
    <row r="301" ht="19.5" customHeight="1" s="71">
      <c r="A301" s="65" t="inlineStr">
        <is>
          <t>6.7</t>
        </is>
      </c>
      <c r="B301" s="54" t="n">
        <v>6</v>
      </c>
      <c r="C301" s="64" t="inlineStr">
        <is>
          <t>Build: Write a PRD</t>
        </is>
      </c>
      <c r="D301" s="54" t="inlineStr">
        <is>
          <t>Build</t>
        </is>
      </c>
      <c r="E301" s="54" t="n">
        <v>4</v>
      </c>
      <c r="F301" s="47">
        <f>IF(COUNTIF($J301:$J305,"Done")=5,"Done",IF(COUNTIF($J301:$J305,"Blocked")&gt;0,"Blocked",IF(COUNTIF($J301:$J305,"To do")=5,"Not started","In progress")))</f>
        <v/>
      </c>
      <c r="G301" s="47">
        <f>IF(SUM($M301:$M305)=0,"",SUM($M301:$M305))</f>
        <v/>
      </c>
      <c r="H301" s="17" t="n">
        <v>1</v>
      </c>
      <c r="I301" s="18" t="inlineStr">
        <is>
          <t>Read the Atlassian guidance on PRDs.</t>
        </is>
      </c>
      <c r="J301" s="19" t="inlineStr">
        <is>
          <t>To do</t>
        </is>
      </c>
      <c r="K301" s="20" t="n"/>
      <c r="L301" s="20" t="n"/>
      <c r="M301" s="21" t="n"/>
      <c r="N301" s="53" t="inlineStr">
        <is>
          <t>The product requirements document is where your discovery work and your delivery plan meet on one page.</t>
        </is>
      </c>
      <c r="O301" s="53" t="inlineStr">
        <is>
          <t>• Atlassian: *Product requirements documents* — https://www.atlassian.com/agile/product-management/requirements
• Lenny's Newsletter PRD templates — https://www.lennysnewsletter.com/
• Your Harvest Hub research, personas, stories and screens</t>
        </is>
      </c>
      <c r="P301" s="53" t="inlineStr">
        <is>
          <t>The "open questions" section is the honest part of a PRD. Nobody expects you to have every answer — they expect you to know which answers are missing.
---
---</t>
        </is>
      </c>
      <c r="Q301" s="53" t="inlineStr">
        <is>
          <t>—</t>
        </is>
      </c>
      <c r="R301" s="54" t="n"/>
      <c r="S301" s="53" t="n"/>
    </row>
    <row r="302" ht="42.75" customHeight="1" s="71">
      <c r="A302" s="48" t="n"/>
      <c r="B302" s="48" t="n"/>
      <c r="C302" s="48" t="n"/>
      <c r="D302" s="48" t="n"/>
      <c r="E302" s="48" t="n"/>
      <c r="F302" s="48" t="n"/>
      <c r="G302" s="48" t="n"/>
      <c r="H302" s="22" t="n">
        <v>2</v>
      </c>
      <c r="I302" s="23" t="inlineStr">
        <is>
          <t>Write a full PRD for Harvest Hub covering: problem, users, goals, success metrics, scope (in and out), user stories, key flows, design references, open questions, risks.</t>
        </is>
      </c>
      <c r="J302" s="24" t="inlineStr">
        <is>
          <t>To do</t>
        </is>
      </c>
      <c r="K302" s="25" t="n"/>
      <c r="L302" s="25" t="n"/>
      <c r="M302" s="26" t="n"/>
      <c r="N302" s="48" t="n"/>
      <c r="O302" s="48" t="n"/>
      <c r="P302" s="48" t="n"/>
      <c r="Q302" s="48" t="n"/>
      <c r="R302" s="48" t="n"/>
      <c r="S302" s="48" t="n"/>
    </row>
    <row r="303" ht="19.5" customHeight="1" s="71">
      <c r="A303" s="48" t="n"/>
      <c r="B303" s="48" t="n"/>
      <c r="C303" s="48" t="n"/>
      <c r="D303" s="48" t="n"/>
      <c r="E303" s="48" t="n"/>
      <c r="F303" s="48" t="n"/>
      <c r="G303" s="48" t="n"/>
      <c r="H303" s="22" t="n">
        <v>3</v>
      </c>
      <c r="I303" s="23" t="inlineStr">
        <is>
          <t>Keep it under six pages. Length is not thoroughness.</t>
        </is>
      </c>
      <c r="J303" s="24" t="inlineStr">
        <is>
          <t>To do</t>
        </is>
      </c>
      <c r="K303" s="25" t="n"/>
      <c r="L303" s="25" t="n"/>
      <c r="M303" s="26" t="n"/>
      <c r="N303" s="48" t="n"/>
      <c r="O303" s="48" t="n"/>
      <c r="P303" s="48" t="n"/>
      <c r="Q303" s="48" t="n"/>
      <c r="R303" s="48" t="n"/>
      <c r="S303" s="48" t="n"/>
    </row>
    <row r="304" ht="42.75" customHeight="1" s="71">
      <c r="A304" s="48" t="n"/>
      <c r="B304" s="48" t="n"/>
      <c r="C304" s="48" t="n"/>
      <c r="D304" s="48" t="n"/>
      <c r="E304" s="48" t="n"/>
      <c r="F304" s="48" t="n"/>
      <c r="G304" s="48" t="n"/>
      <c r="H304" s="22" t="n">
        <v>4</v>
      </c>
      <c r="I304" s="23" t="inlineStr">
        <is>
          <t>Ask Claude: *"You're an engineering lead reading this PRD for the first time. What can't you start on, and what would you have to come back and ask me?"*</t>
        </is>
      </c>
      <c r="J304" s="24" t="inlineStr">
        <is>
          <t>To do</t>
        </is>
      </c>
      <c r="K304" s="25" t="n"/>
      <c r="L304" s="25" t="n"/>
      <c r="M304" s="26" t="n"/>
      <c r="N304" s="48" t="n"/>
      <c r="O304" s="48" t="n"/>
      <c r="P304" s="48" t="n"/>
      <c r="Q304" s="48" t="n"/>
      <c r="R304" s="48" t="n"/>
      <c r="S304" s="48" t="n"/>
    </row>
    <row r="305" ht="19.5" customHeight="1" s="71">
      <c r="A305" s="49" t="n"/>
      <c r="B305" s="49" t="n"/>
      <c r="C305" s="49" t="n"/>
      <c r="D305" s="49" t="n"/>
      <c r="E305" s="49" t="n"/>
      <c r="F305" s="49" t="n"/>
      <c r="G305" s="49" t="n"/>
      <c r="H305" s="27" t="n">
        <v>5</v>
      </c>
      <c r="I305" s="28" t="inlineStr">
        <is>
          <t>Revise once and share with your mentor.</t>
        </is>
      </c>
      <c r="J305" s="29" t="inlineStr">
        <is>
          <t>To do</t>
        </is>
      </c>
      <c r="K305" s="31" t="n"/>
      <c r="L305" s="31" t="n"/>
      <c r="M305" s="30" t="n"/>
      <c r="N305" s="49" t="n"/>
      <c r="O305" s="49" t="n"/>
      <c r="P305" s="49" t="n"/>
      <c r="Q305" s="49" t="n"/>
      <c r="R305" s="49" t="n"/>
      <c r="S305" s="49" t="n"/>
    </row>
    <row r="306" ht="30" customHeight="1" s="71">
      <c r="A306" s="60" t="inlineStr">
        <is>
          <t>6.8</t>
        </is>
      </c>
      <c r="B306" s="51" t="n">
        <v>6</v>
      </c>
      <c r="C306" s="50" t="inlineStr">
        <is>
          <t>Learn: AI product patterns I — semantic search and RAG</t>
        </is>
      </c>
      <c r="D306" s="51" t="inlineStr">
        <is>
          <t>Learn</t>
        </is>
      </c>
      <c r="E306" s="51" t="n">
        <v>3</v>
      </c>
      <c r="F306" s="55">
        <f>IF(COUNTIF($J306:$J310,"Done")=5,"Done",IF(COUNTIF($J306:$J310,"Blocked")&gt;0,"Blocked",IF(COUNTIF($J306:$J310,"To do")=5,"Not started","In progress")))</f>
        <v/>
      </c>
      <c r="G306" s="55">
        <f>IF(SUM($M306:$M310)=0,"",SUM($M306:$M310))</f>
        <v/>
      </c>
      <c r="H306" s="17" t="n">
        <v>1</v>
      </c>
      <c r="I306" s="18" t="inlineStr">
        <is>
          <t>Read the first two. Skim the third and note which of its terms have since fallen out of use.</t>
        </is>
      </c>
      <c r="J306" s="19" t="inlineStr">
        <is>
          <t>To do</t>
        </is>
      </c>
      <c r="K306" s="20" t="n"/>
      <c r="L306" s="20" t="n"/>
      <c r="M306" s="21" t="n"/>
      <c r="N306" s="52" t="inlineStr">
        <is>
          <t>Search that understands meaning rather than matching keywords. It's in a lot of what we build, and it changes what the results screen has to do.</t>
        </is>
      </c>
      <c r="O306" s="52" t="inlineStr">
        <is>
          <t>• Microsoft Learn: *What is Azure AI Search* — https://learn.microsoft.com/en-us/azure/search/search-what-is-azure-search
• Anthropic: *Contextual retrieval* — https://www.anthropic.com/news/contextual-retrieval
• OpenSense Labs: *Cognitive Search* — https://opensenselabs.com/blog/articles/cognitive-search-true-genius *(older piece — "cognitive search" is dated vendor language; today you'd say semantic search, vector search or RAG)*</t>
        </is>
      </c>
      <c r="P306" s="52" t="inlineStr">
        <is>
          <t>The design problem with semantic search is that it never returns nothing. Users need a way to tell when the top result is a stretch — that's your job, not the model's.
---
---</t>
        </is>
      </c>
      <c r="Q306" s="52" t="inlineStr">
        <is>
          <t>—</t>
        </is>
      </c>
      <c r="R306" s="51" t="n"/>
      <c r="S306" s="52" t="n"/>
    </row>
    <row r="307" ht="42.75" customHeight="1" s="71">
      <c r="A307" s="48" t="n"/>
      <c r="B307" s="48" t="n"/>
      <c r="C307" s="48" t="n"/>
      <c r="D307" s="48" t="n"/>
      <c r="E307" s="48" t="n"/>
      <c r="F307" s="48" t="n"/>
      <c r="G307" s="48" t="n"/>
      <c r="H307" s="22" t="n">
        <v>2</v>
      </c>
      <c r="I307" s="23" t="inlineStr">
        <is>
          <t>Explain in client-friendly language, out loud, the difference between keyword search, semantic search, and retrieval-augmented generation.</t>
        </is>
      </c>
      <c r="J307" s="24" t="inlineStr">
        <is>
          <t>To do</t>
        </is>
      </c>
      <c r="K307" s="25" t="n"/>
      <c r="L307" s="25" t="n"/>
      <c r="M307" s="26" t="n"/>
      <c r="N307" s="48" t="n"/>
      <c r="O307" s="48" t="n"/>
      <c r="P307" s="48" t="n"/>
      <c r="Q307" s="48" t="n"/>
      <c r="R307" s="48" t="n"/>
      <c r="S307" s="48" t="n"/>
    </row>
    <row r="308" ht="42.75" customHeight="1" s="71">
      <c r="A308" s="48" t="n"/>
      <c r="B308" s="48" t="n"/>
      <c r="C308" s="48" t="n"/>
      <c r="D308" s="48" t="n"/>
      <c r="E308" s="48" t="n"/>
      <c r="F308" s="48" t="n"/>
      <c r="G308" s="48" t="n"/>
      <c r="H308" s="22" t="n">
        <v>3</v>
      </c>
      <c r="I308" s="23" t="inlineStr">
        <is>
          <t>List the design implications: how to show relevance, how to handle "no good matches", how to show *why* a result matched, how to let a user correct it.</t>
        </is>
      </c>
      <c r="J308" s="24" t="inlineStr">
        <is>
          <t>To do</t>
        </is>
      </c>
      <c r="K308" s="25" t="n"/>
      <c r="L308" s="25" t="n"/>
      <c r="M308" s="26" t="n"/>
      <c r="N308" s="48" t="n"/>
      <c r="O308" s="48" t="n"/>
      <c r="P308" s="48" t="n"/>
      <c r="Q308" s="48" t="n"/>
      <c r="R308" s="48" t="n"/>
      <c r="S308" s="48" t="n"/>
    </row>
    <row r="309" ht="30" customHeight="1" s="71">
      <c r="A309" s="48" t="n"/>
      <c r="B309" s="48" t="n"/>
      <c r="C309" s="48" t="n"/>
      <c r="D309" s="48" t="n"/>
      <c r="E309" s="48" t="n"/>
      <c r="F309" s="48" t="n"/>
      <c r="G309" s="48" t="n"/>
      <c r="H309" s="22" t="n">
        <v>4</v>
      </c>
      <c r="I309" s="23" t="inlineStr">
        <is>
          <t>Sketch a results screen that makes relevance visible rather than implicit.</t>
        </is>
      </c>
      <c r="J309" s="24" t="inlineStr">
        <is>
          <t>To do</t>
        </is>
      </c>
      <c r="K309" s="25" t="n"/>
      <c r="L309" s="25" t="n"/>
      <c r="M309" s="26" t="n"/>
      <c r="N309" s="48" t="n"/>
      <c r="O309" s="48" t="n"/>
      <c r="P309" s="48" t="n"/>
      <c r="Q309" s="48" t="n"/>
      <c r="R309" s="48" t="n"/>
      <c r="S309" s="48" t="n"/>
    </row>
    <row r="310" ht="42.75" customHeight="1" s="71">
      <c r="A310" s="49" t="n"/>
      <c r="B310" s="49" t="n"/>
      <c r="C310" s="49" t="n"/>
      <c r="D310" s="49" t="n"/>
      <c r="E310" s="49" t="n"/>
      <c r="F310" s="49" t="n"/>
      <c r="G310" s="49" t="n"/>
      <c r="H310" s="27" t="n">
        <v>5</v>
      </c>
      <c r="I310" s="28" t="inlineStr">
        <is>
          <t>Ask Claude: *"What goes wrong in the user experience when semantic search returns something confidently irrelevant, and how do good interfaces recover from it?"*</t>
        </is>
      </c>
      <c r="J310" s="29" t="inlineStr">
        <is>
          <t>To do</t>
        </is>
      </c>
      <c r="K310" s="31" t="n"/>
      <c r="L310" s="31" t="n"/>
      <c r="M310" s="30" t="n"/>
      <c r="N310" s="49" t="n"/>
      <c r="O310" s="49" t="n"/>
      <c r="P310" s="49" t="n"/>
      <c r="Q310" s="49" t="n"/>
      <c r="R310" s="49" t="n"/>
      <c r="S310" s="49" t="n"/>
    </row>
    <row r="311" ht="30" customHeight="1" s="71">
      <c r="A311" s="65" t="inlineStr">
        <is>
          <t>6.9</t>
        </is>
      </c>
      <c r="B311" s="54" t="n">
        <v>6</v>
      </c>
      <c r="C311" s="64" t="inlineStr">
        <is>
          <t>Learn: AI product patterns II — assistants, agents and escalation</t>
        </is>
      </c>
      <c r="D311" s="54" t="inlineStr">
        <is>
          <t>Learn</t>
        </is>
      </c>
      <c r="E311" s="54" t="n">
        <v>3</v>
      </c>
      <c r="F311" s="47">
        <f>IF(COUNTIF($J311:$J315,"Done")=5,"Done",IF(COUNTIF($J311:$J315,"Blocked")&gt;0,"Blocked",IF(COUNTIF($J311:$J315,"To do")=5,"Not started","In progress")))</f>
        <v/>
      </c>
      <c r="G311" s="47">
        <f>IF(SUM($M311:$M315)=0,"",SUM($M311:$M315))</f>
        <v/>
      </c>
      <c r="H311" s="17" t="n">
        <v>1</v>
      </c>
      <c r="I311" s="18" t="inlineStr">
        <is>
          <t>Read the first two; skim the third for how the conversation used to be framed.</t>
        </is>
      </c>
      <c r="J311" s="19" t="inlineStr">
        <is>
          <t>To do</t>
        </is>
      </c>
      <c r="K311" s="20" t="n"/>
      <c r="L311" s="20" t="n"/>
      <c r="M311" s="21" t="n"/>
      <c r="N311" s="53" t="inlineStr">
        <is>
          <t>Clients still say "chatbot", but what they usually want is an assistant that can actually do things. Designing that well is mostly about scope, visibility and knowing when to hand over to a person.</t>
        </is>
      </c>
      <c r="O311" s="53" t="inlineStr">
        <is>
          <t>• NN/g: *Chatbot usability* — https://www.nngroup.com/articles/chatbot-usability/
• Anthropic: *Building effective agents* — https://www.anthropic.com/engineering/building-effective-agents
• WhosOn: *Chatbots vs Conversational AI* — https://www.whoson.com/chatbots-ai/chatbots-vs-conversational-ai-whats-the-difference/ *(older framing — the rule-based vs AI debate it describes is largely settled now)*</t>
        </is>
      </c>
      <c r="P311" s="53" t="inlineStr">
        <is>
          <t>The answer to that last question is: more often than clients think. A well-designed form beats a chat box for most structured tasks, and being able to say so clearly is part of your job.
---
---</t>
        </is>
      </c>
      <c r="Q311" s="53" t="inlineStr">
        <is>
          <t>—</t>
        </is>
      </c>
      <c r="R311" s="54" t="n"/>
      <c r="S311" s="53" t="n"/>
    </row>
    <row r="312" ht="55.5" customHeight="1" s="71">
      <c r="A312" s="48" t="n"/>
      <c r="B312" s="48" t="n"/>
      <c r="C312" s="48" t="n"/>
      <c r="D312" s="48" t="n"/>
      <c r="E312" s="48" t="n"/>
      <c r="F312" s="48" t="n"/>
      <c r="G312" s="48" t="n"/>
      <c r="H312" s="22" t="n">
        <v>2</v>
      </c>
      <c r="I312" s="23" t="inlineStr">
        <is>
          <t>Note the design decisions specific to conversational interfaces: showing what it can and can't do, showing what it's doing while it works, confirming before it acts, recovering from misunderstanding, and handing over to a human.</t>
        </is>
      </c>
      <c r="J312" s="24" t="inlineStr">
        <is>
          <t>To do</t>
        </is>
      </c>
      <c r="K312" s="25" t="n"/>
      <c r="L312" s="25" t="n"/>
      <c r="M312" s="26" t="n"/>
      <c r="N312" s="48" t="n"/>
      <c r="O312" s="48" t="n"/>
      <c r="P312" s="48" t="n"/>
      <c r="Q312" s="48" t="n"/>
      <c r="R312" s="48" t="n"/>
      <c r="S312" s="48" t="n"/>
    </row>
    <row r="313" ht="30" customHeight="1" s="71">
      <c r="A313" s="48" t="n"/>
      <c r="B313" s="48" t="n"/>
      <c r="C313" s="48" t="n"/>
      <c r="D313" s="48" t="n"/>
      <c r="E313" s="48" t="n"/>
      <c r="F313" s="48" t="n"/>
      <c r="G313" s="48" t="n"/>
      <c r="H313" s="22" t="n">
        <v>3</v>
      </c>
      <c r="I313" s="23" t="inlineStr">
        <is>
          <t>Pick one action an HR assistant might take on a user's behalf and decide what it should confirm before doing it.</t>
        </is>
      </c>
      <c r="J313" s="24" t="inlineStr">
        <is>
          <t>To do</t>
        </is>
      </c>
      <c r="K313" s="25" t="n"/>
      <c r="L313" s="25" t="n"/>
      <c r="M313" s="26" t="n"/>
      <c r="N313" s="48" t="n"/>
      <c r="O313" s="48" t="n"/>
      <c r="P313" s="48" t="n"/>
      <c r="Q313" s="48" t="n"/>
      <c r="R313" s="48" t="n"/>
      <c r="S313" s="48" t="n"/>
    </row>
    <row r="314" ht="42.75" customHeight="1" s="71">
      <c r="A314" s="48" t="n"/>
      <c r="B314" s="48" t="n"/>
      <c r="C314" s="48" t="n"/>
      <c r="D314" s="48" t="n"/>
      <c r="E314" s="48" t="n"/>
      <c r="F314" s="48" t="n"/>
      <c r="G314" s="48" t="n"/>
      <c r="H314" s="22" t="n">
        <v>4</v>
      </c>
      <c r="I314" s="23" t="inlineStr">
        <is>
          <t>Write the actual copy for the "I didn't understand that" moment — three consecutive times, each different from the last.</t>
        </is>
      </c>
      <c r="J314" s="24" t="inlineStr">
        <is>
          <t>To do</t>
        </is>
      </c>
      <c r="K314" s="25" t="n"/>
      <c r="L314" s="25" t="n"/>
      <c r="M314" s="26" t="n"/>
      <c r="N314" s="48" t="n"/>
      <c r="O314" s="48" t="n"/>
      <c r="P314" s="48" t="n"/>
      <c r="Q314" s="48" t="n"/>
      <c r="R314" s="48" t="n"/>
      <c r="S314" s="48" t="n"/>
    </row>
    <row r="315" ht="30" customHeight="1" s="71">
      <c r="A315" s="49" t="n"/>
      <c r="B315" s="49" t="n"/>
      <c r="C315" s="49" t="n"/>
      <c r="D315" s="49" t="n"/>
      <c r="E315" s="49" t="n"/>
      <c r="F315" s="49" t="n"/>
      <c r="G315" s="49" t="n"/>
      <c r="H315" s="27" t="n">
        <v>5</v>
      </c>
      <c r="I315" s="28" t="inlineStr">
        <is>
          <t>Ask Claude: *"When is a conversational interface the wrong choice, and what should the product be instead?"*</t>
        </is>
      </c>
      <c r="J315" s="29" t="inlineStr">
        <is>
          <t>To do</t>
        </is>
      </c>
      <c r="K315" s="31" t="n"/>
      <c r="L315" s="31" t="n"/>
      <c r="M315" s="30" t="n"/>
      <c r="N315" s="49" t="n"/>
      <c r="O315" s="49" t="n"/>
      <c r="P315" s="49" t="n"/>
      <c r="Q315" s="49" t="n"/>
      <c r="R315" s="49" t="n"/>
      <c r="S315" s="49" t="n"/>
    </row>
    <row r="316" ht="30" customHeight="1" s="71">
      <c r="A316" s="60" t="inlineStr">
        <is>
          <t>6.10</t>
        </is>
      </c>
      <c r="B316" s="51" t="n">
        <v>6</v>
      </c>
      <c r="C316" s="50" t="inlineStr">
        <is>
          <t>Learn: Designing for uncertainty</t>
        </is>
      </c>
      <c r="D316" s="51" t="inlineStr">
        <is>
          <t>Learn</t>
        </is>
      </c>
      <c r="E316" s="51" t="n">
        <v>3</v>
      </c>
      <c r="F316" s="55">
        <f>IF(COUNTIF($J316:$J320,"Done")=5,"Done",IF(COUNTIF($J316:$J320,"Blocked")&gt;0,"Blocked",IF(COUNTIF($J316:$J320,"To do")=5,"Not started","In progress")))</f>
        <v/>
      </c>
      <c r="G316" s="55">
        <f>IF(SUM($M316:$M320)=0,"",SUM($M316:$M320))</f>
        <v/>
      </c>
      <c r="H316" s="17" t="n">
        <v>1</v>
      </c>
      <c r="I316" s="18" t="inlineStr">
        <is>
          <t>Work through the People + AI Guidebook's chapters on mental models, explainability and errors.</t>
        </is>
      </c>
      <c r="J316" s="19" t="inlineStr">
        <is>
          <t>To do</t>
        </is>
      </c>
      <c r="K316" s="20" t="n"/>
      <c r="L316" s="20" t="n"/>
      <c r="M316" s="21" t="n"/>
      <c r="N316" s="52" t="inlineStr">
        <is>
          <t>AI features produce output that is probably right. Interfaces must be honest about that without being useless.</t>
        </is>
      </c>
      <c r="O316" s="52" t="inlineStr">
        <is>
          <t>• Google: *People + AI Guidebook* — https://pair.withgoogle.com/guidebook/
• Microsoft: *HAX Toolkit* — https://www.microsoft.com/en-us/haxtoolkit/
• IBM: *Design for AI* — https://www.ibm.com/design/ai/</t>
        </is>
      </c>
      <c r="P316" s="52" t="inlineStr">
        <is>
          <t>This is the most directly applicable task in the module. Almost everything we build has an AI feature in it, and this balance — useful but honest — is the hardest part to get right.
---
---</t>
        </is>
      </c>
      <c r="Q316" s="52" t="inlineStr">
        <is>
          <t>—</t>
        </is>
      </c>
      <c r="R316" s="51" t="n"/>
      <c r="S316" s="52" t="n"/>
    </row>
    <row r="317" ht="42.75" customHeight="1" s="71">
      <c r="A317" s="48" t="n"/>
      <c r="B317" s="48" t="n"/>
      <c r="C317" s="48" t="n"/>
      <c r="D317" s="48" t="n"/>
      <c r="E317" s="48" t="n"/>
      <c r="F317" s="48" t="n"/>
      <c r="G317" s="48" t="n"/>
      <c r="H317" s="22" t="n">
        <v>2</v>
      </c>
      <c r="I317" s="23" t="inlineStr">
        <is>
          <t>List the core patterns: showing confidence, explaining reasoning, offering alternatives, making correction easy, setting expectations up front, and graceful failure.</t>
        </is>
      </c>
      <c r="J317" s="24" t="inlineStr">
        <is>
          <t>To do</t>
        </is>
      </c>
      <c r="K317" s="25" t="n"/>
      <c r="L317" s="25" t="n"/>
      <c r="M317" s="26" t="n"/>
      <c r="N317" s="48" t="n"/>
      <c r="O317" s="48" t="n"/>
      <c r="P317" s="48" t="n"/>
      <c r="Q317" s="48" t="n"/>
      <c r="R317" s="48" t="n"/>
      <c r="S317" s="48" t="n"/>
    </row>
    <row r="318" ht="30" customHeight="1" s="71">
      <c r="A318" s="48" t="n"/>
      <c r="B318" s="48" t="n"/>
      <c r="C318" s="48" t="n"/>
      <c r="D318" s="48" t="n"/>
      <c r="E318" s="48" t="n"/>
      <c r="F318" s="48" t="n"/>
      <c r="G318" s="48" t="n"/>
      <c r="H318" s="22" t="n">
        <v>3</v>
      </c>
      <c r="I318" s="23" t="inlineStr">
        <is>
          <t>Take one AI feature from Brief C (ClaimLens, Appendix A) and design how it communicates uncertainty.</t>
        </is>
      </c>
      <c r="J318" s="24" t="inlineStr">
        <is>
          <t>To do</t>
        </is>
      </c>
      <c r="K318" s="25" t="n"/>
      <c r="L318" s="25" t="n"/>
      <c r="M318" s="26" t="n"/>
      <c r="N318" s="48" t="n"/>
      <c r="O318" s="48" t="n"/>
      <c r="P318" s="48" t="n"/>
      <c r="Q318" s="48" t="n"/>
      <c r="R318" s="48" t="n"/>
      <c r="S318" s="48" t="n"/>
    </row>
    <row r="319" ht="30" customHeight="1" s="71">
      <c r="A319" s="48" t="n"/>
      <c r="B319" s="48" t="n"/>
      <c r="C319" s="48" t="n"/>
      <c r="D319" s="48" t="n"/>
      <c r="E319" s="48" t="n"/>
      <c r="F319" s="48" t="n"/>
      <c r="G319" s="48" t="n"/>
      <c r="H319" s="22" t="n">
        <v>4</v>
      </c>
      <c r="I319" s="23" t="inlineStr">
        <is>
          <t>Write the copy for three moments: high confidence, low confidence, and outright failure.</t>
        </is>
      </c>
      <c r="J319" s="24" t="inlineStr">
        <is>
          <t>To do</t>
        </is>
      </c>
      <c r="K319" s="25" t="n"/>
      <c r="L319" s="25" t="n"/>
      <c r="M319" s="26" t="n"/>
      <c r="N319" s="48" t="n"/>
      <c r="O319" s="48" t="n"/>
      <c r="P319" s="48" t="n"/>
      <c r="Q319" s="48" t="n"/>
      <c r="R319" s="48" t="n"/>
      <c r="S319" s="48" t="n"/>
    </row>
    <row r="320" ht="42.75" customHeight="1" s="71">
      <c r="A320" s="49" t="n"/>
      <c r="B320" s="49" t="n"/>
      <c r="C320" s="49" t="n"/>
      <c r="D320" s="49" t="n"/>
      <c r="E320" s="49" t="n"/>
      <c r="F320" s="49" t="n"/>
      <c r="G320" s="49" t="n"/>
      <c r="H320" s="27" t="n">
        <v>5</v>
      </c>
      <c r="I320" s="28" t="inlineStr">
        <is>
          <t>Ask Claude: *"Critique these three states. Where am I either over-promising or being so cautious the feature becomes useless?"*</t>
        </is>
      </c>
      <c r="J320" s="29" t="inlineStr">
        <is>
          <t>To do</t>
        </is>
      </c>
      <c r="K320" s="31" t="n"/>
      <c r="L320" s="31" t="n"/>
      <c r="M320" s="30" t="n"/>
      <c r="N320" s="49" t="n"/>
      <c r="O320" s="49" t="n"/>
      <c r="P320" s="49" t="n"/>
      <c r="Q320" s="49" t="n"/>
      <c r="R320" s="49" t="n"/>
      <c r="S320" s="49" t="n"/>
    </row>
    <row r="321" ht="25.5" customHeight="1" s="71">
      <c r="A321" s="61" t="inlineStr">
        <is>
          <t xml:space="preserve">  Module 7 · Cowork and Scaling Yourself — 23 hrs · 8 tasks</t>
        </is>
      </c>
      <c r="B321" s="62" t="n"/>
      <c r="C321" s="62" t="n"/>
      <c r="D321" s="62" t="n"/>
      <c r="E321" s="62" t="n"/>
      <c r="F321" s="62" t="n"/>
      <c r="G321" s="62" t="n"/>
      <c r="H321" s="62" t="n"/>
      <c r="I321" s="62" t="n"/>
      <c r="J321" s="62" t="n"/>
      <c r="K321" s="62" t="n"/>
      <c r="L321" s="62" t="n"/>
      <c r="M321" s="62" t="n"/>
      <c r="N321" s="62" t="n"/>
      <c r="O321" s="62" t="n"/>
      <c r="P321" s="62" t="n"/>
      <c r="Q321" s="62" t="n"/>
      <c r="R321" s="62" t="n"/>
      <c r="S321" s="63" t="n"/>
    </row>
    <row r="322" ht="18" customHeight="1" s="71">
      <c r="A322" s="59" t="inlineStr">
        <is>
          <t>Goal</t>
        </is>
      </c>
      <c r="B322" s="58" t="n"/>
      <c r="C322" s="56" t="inlineStr">
        <is>
          <t>I can hand Claude a multi-step piece of real work and get back something I'd actually use.</t>
        </is>
      </c>
      <c r="D322" s="57" t="n"/>
      <c r="E322" s="57" t="n"/>
      <c r="F322" s="57" t="n"/>
      <c r="G322" s="57" t="n"/>
      <c r="H322" s="57" t="n"/>
      <c r="I322" s="57" t="n"/>
      <c r="J322" s="57" t="n"/>
      <c r="K322" s="57" t="n"/>
      <c r="L322" s="57" t="n"/>
      <c r="M322" s="57" t="n"/>
      <c r="N322" s="57" t="n"/>
      <c r="O322" s="57" t="n"/>
      <c r="P322" s="57" t="n"/>
      <c r="Q322" s="57" t="n"/>
      <c r="R322" s="57" t="n"/>
      <c r="S322" s="58" t="n"/>
    </row>
    <row r="323" ht="18" customHeight="1" s="71">
      <c r="A323" s="59" t="inlineStr">
        <is>
          <t>About</t>
        </is>
      </c>
      <c r="B323" s="58" t="n"/>
      <c r="C323" s="56" t="inlineStr">
        <is>
          <t>Chat is for thinking. Cowork is for doing. This module moves you from asking questions to delegating work — connecting Claude to your files and tools, and packaging your repeated workflows so they run the same way every time.
---</t>
        </is>
      </c>
      <c r="D323" s="57" t="n"/>
      <c r="E323" s="57" t="n"/>
      <c r="F323" s="57" t="n"/>
      <c r="G323" s="57" t="n"/>
      <c r="H323" s="57" t="n"/>
      <c r="I323" s="57" t="n"/>
      <c r="J323" s="57" t="n"/>
      <c r="K323" s="57" t="n"/>
      <c r="L323" s="57" t="n"/>
      <c r="M323" s="57" t="n"/>
      <c r="N323" s="57" t="n"/>
      <c r="O323" s="57" t="n"/>
      <c r="P323" s="57" t="n"/>
      <c r="Q323" s="57" t="n"/>
      <c r="R323" s="57" t="n"/>
      <c r="S323" s="58" t="n"/>
    </row>
    <row r="324" ht="18" customHeight="1" s="71">
      <c r="A324" s="59" t="inlineStr">
        <is>
          <t>Checkpoint</t>
        </is>
      </c>
      <c r="B324" s="58" t="n"/>
      <c r="C324" s="56" t="inlineStr">
        <is>
          <t>Bring: your Cowork summary document with a critique of its quality, three format-specific outputs, your connector verification notes, your safety rule, your prototype-analyser findings, your custom Skill, and your *How I Work With Claude* document.
---</t>
        </is>
      </c>
      <c r="D324" s="57" t="n"/>
      <c r="E324" s="57" t="n"/>
      <c r="F324" s="57" t="n"/>
      <c r="G324" s="57" t="n"/>
      <c r="H324" s="57" t="n"/>
      <c r="I324" s="57" t="n"/>
      <c r="J324" s="57" t="n"/>
      <c r="K324" s="57" t="n"/>
      <c r="L324" s="57" t="n"/>
      <c r="M324" s="57" t="n"/>
      <c r="N324" s="57" t="n"/>
      <c r="O324" s="57" t="n"/>
      <c r="P324" s="57" t="n"/>
      <c r="Q324" s="57" t="n"/>
      <c r="R324" s="57" t="n"/>
      <c r="S324" s="58" t="n"/>
    </row>
    <row r="325" ht="30" customHeight="1" s="71">
      <c r="A325" s="65" t="inlineStr">
        <is>
          <t>7.1</t>
        </is>
      </c>
      <c r="B325" s="54" t="n">
        <v>7</v>
      </c>
      <c r="C325" s="64" t="inlineStr">
        <is>
          <t>Learn: What Cowork is and when to use it</t>
        </is>
      </c>
      <c r="D325" s="54" t="inlineStr">
        <is>
          <t>Learn</t>
        </is>
      </c>
      <c r="E325" s="54" t="n">
        <v>2</v>
      </c>
      <c r="F325" s="47">
        <f>IF(COUNTIF($J325:$J329,"Done")=5,"Done",IF(COUNTIF($J325:$J329,"Blocked")&gt;0,"Blocked",IF(COUNTIF($J325:$J329,"To do")=5,"Not started","In progress")))</f>
        <v/>
      </c>
      <c r="G325" s="47">
        <f>IF(SUM($M325:$M329)=0,"",SUM($M325:$M329))</f>
        <v/>
      </c>
      <c r="H325" s="17" t="n">
        <v>1</v>
      </c>
      <c r="I325" s="18" t="inlineStr">
        <is>
          <t>Read the getting-started guide and the best-practices post.</t>
        </is>
      </c>
      <c r="J325" s="19" t="inlineStr">
        <is>
          <t>To do</t>
        </is>
      </c>
      <c r="K325" s="20" t="n"/>
      <c r="L325" s="20" t="n"/>
      <c r="M325" s="21" t="n"/>
      <c r="N325" s="53" t="inlineStr">
        <is>
          <t>Understand the difference between a conversation and a delegated task, so you reach for the right one.</t>
        </is>
      </c>
      <c r="O325" s="53" t="inlineStr">
        <is>
          <t>• Get started with Claude Cowork — https://support.claude.com/en/articles/13345190-get-started-with-claude-cowork
• Best practices for getting started with Cowork — https://claude.com/blog/best-practices-for-getting-started-with-claude-cowork
• Claude Academy: *Get started in Cowork in three steps* — https://academy.claude.com/tutorials/get-started-in-claude-cowork-in-three-steps</t>
        </is>
      </c>
      <c r="P325" s="53" t="inlineStr">
        <is>
          <t>The mental shift is from "answer my question" to "here's the outcome I want, go". It takes a week or so before it feels natural.
---
---</t>
        </is>
      </c>
      <c r="Q325" s="53" t="inlineStr">
        <is>
          <t>—</t>
        </is>
      </c>
      <c r="R325" s="54" t="n"/>
      <c r="S325" s="53" t="n"/>
    </row>
    <row r="326" ht="30" customHeight="1" s="71">
      <c r="A326" s="48" t="n"/>
      <c r="B326" s="48" t="n"/>
      <c r="C326" s="48" t="n"/>
      <c r="D326" s="48" t="n"/>
      <c r="E326" s="48" t="n"/>
      <c r="F326" s="48" t="n"/>
      <c r="G326" s="48" t="n"/>
      <c r="H326" s="22" t="n">
        <v>2</v>
      </c>
      <c r="I326" s="23" t="inlineStr">
        <is>
          <t>Write down the distinction in your own words: chat brings your work to Claude, Cowork brings Claude to your work.</t>
        </is>
      </c>
      <c r="J326" s="24" t="inlineStr">
        <is>
          <t>To do</t>
        </is>
      </c>
      <c r="K326" s="25" t="n"/>
      <c r="L326" s="25" t="n"/>
      <c r="M326" s="26" t="n"/>
      <c r="N326" s="48" t="n"/>
      <c r="O326" s="48" t="n"/>
      <c r="P326" s="48" t="n"/>
      <c r="Q326" s="48" t="n"/>
      <c r="R326" s="48" t="n"/>
      <c r="S326" s="48" t="n"/>
    </row>
    <row r="327" ht="30" customHeight="1" s="71">
      <c r="A327" s="48" t="n"/>
      <c r="B327" s="48" t="n"/>
      <c r="C327" s="48" t="n"/>
      <c r="D327" s="48" t="n"/>
      <c r="E327" s="48" t="n"/>
      <c r="F327" s="48" t="n"/>
      <c r="G327" s="48" t="n"/>
      <c r="H327" s="22" t="n">
        <v>3</v>
      </c>
      <c r="I327" s="23" t="inlineStr">
        <is>
          <t>List ten tasks from Modules 0–7 that would have been better in Cowork than Chat.</t>
        </is>
      </c>
      <c r="J327" s="24" t="inlineStr">
        <is>
          <t>To do</t>
        </is>
      </c>
      <c r="K327" s="25" t="n"/>
      <c r="L327" s="25" t="n"/>
      <c r="M327" s="26" t="n"/>
      <c r="N327" s="48" t="n"/>
      <c r="O327" s="48" t="n"/>
      <c r="P327" s="48" t="n"/>
      <c r="Q327" s="48" t="n"/>
      <c r="R327" s="48" t="n"/>
      <c r="S327" s="48" t="n"/>
    </row>
    <row r="328" ht="42.75" customHeight="1" s="71">
      <c r="A328" s="48" t="n"/>
      <c r="B328" s="48" t="n"/>
      <c r="C328" s="48" t="n"/>
      <c r="D328" s="48" t="n"/>
      <c r="E328" s="48" t="n"/>
      <c r="F328" s="48" t="n"/>
      <c r="G328" s="48" t="n"/>
      <c r="H328" s="22" t="n">
        <v>4</v>
      </c>
      <c r="I328" s="23" t="inlineStr">
        <is>
          <t>Note the two conditions from the best-practices post that make a task a good Cowork candidate: it produces a real deliverable, and you'll do it again.</t>
        </is>
      </c>
      <c r="J328" s="24" t="inlineStr">
        <is>
          <t>To do</t>
        </is>
      </c>
      <c r="K328" s="25" t="n"/>
      <c r="L328" s="25" t="n"/>
      <c r="M328" s="26" t="n"/>
      <c r="N328" s="48" t="n"/>
      <c r="O328" s="48" t="n"/>
      <c r="P328" s="48" t="n"/>
      <c r="Q328" s="48" t="n"/>
      <c r="R328" s="48" t="n"/>
      <c r="S328" s="48" t="n"/>
    </row>
    <row r="329" ht="30" customHeight="1" s="71">
      <c r="A329" s="49" t="n"/>
      <c r="B329" s="49" t="n"/>
      <c r="C329" s="49" t="n"/>
      <c r="D329" s="49" t="n"/>
      <c r="E329" s="49" t="n"/>
      <c r="F329" s="49" t="n"/>
      <c r="G329" s="49" t="n"/>
      <c r="H329" s="27" t="n">
        <v>5</v>
      </c>
      <c r="I329" s="28" t="inlineStr">
        <is>
          <t>Journal: which parts of a product manager's week are most worth delegating?</t>
        </is>
      </c>
      <c r="J329" s="29" t="inlineStr">
        <is>
          <t>To do</t>
        </is>
      </c>
      <c r="K329" s="31" t="n"/>
      <c r="L329" s="31" t="n"/>
      <c r="M329" s="30" t="n"/>
      <c r="N329" s="49" t="n"/>
      <c r="O329" s="49" t="n"/>
      <c r="P329" s="49" t="n"/>
      <c r="Q329" s="49" t="n"/>
      <c r="R329" s="49" t="n"/>
      <c r="S329" s="49" t="n"/>
    </row>
    <row r="330" ht="19.5" customHeight="1" s="71">
      <c r="A330" s="60" t="inlineStr">
        <is>
          <t>7.2</t>
        </is>
      </c>
      <c r="B330" s="51" t="n">
        <v>7</v>
      </c>
      <c r="C330" s="50" t="inlineStr">
        <is>
          <t>Build: Your first real Cowork task</t>
        </is>
      </c>
      <c r="D330" s="51" t="inlineStr">
        <is>
          <t>Build</t>
        </is>
      </c>
      <c r="E330" s="51" t="n">
        <v>3</v>
      </c>
      <c r="F330" s="55">
        <f>IF(COUNTIF($J330:$J334,"Done")=5,"Done",IF(COUNTIF($J330:$J334,"Blocked")&gt;0,"Blocked",IF(COUNTIF($J330:$J334,"To do")=5,"Not started","In progress")))</f>
        <v/>
      </c>
      <c r="G330" s="55">
        <f>IF(SUM($M330:$M334)=0,"",SUM($M330:$M334))</f>
        <v/>
      </c>
      <c r="H330" s="17" t="n">
        <v>1</v>
      </c>
      <c r="I330" s="18" t="inlineStr">
        <is>
          <t>Point Cowork at your `02-Module-Work` folder.</t>
        </is>
      </c>
      <c r="J330" s="19" t="inlineStr">
        <is>
          <t>To do</t>
        </is>
      </c>
      <c r="K330" s="20" t="n"/>
      <c r="L330" s="20" t="n"/>
      <c r="M330" s="21" t="n"/>
      <c r="N330" s="52" t="inlineStr">
        <is>
          <t>Delegate something genuinely multi-step and judge the result honestly.</t>
        </is>
      </c>
      <c r="O330" s="52" t="inlineStr">
        <is>
          <t>• Get started with Claude Cowork — https://support.claude.com/en/articles/13345190-get-started-with-claude-cowork
• Your accumulated Module 0–7 outputs</t>
        </is>
      </c>
      <c r="P330" s="52" t="inlineStr">
        <is>
          <t>That contradiction-flagging instruction is doing real work for you — it will surface places where your thinking shifted between Module 3 and Module 5, which is exactly what growth looks like on paper.
---
---</t>
        </is>
      </c>
      <c r="Q330" s="52" t="inlineStr">
        <is>
          <t>—</t>
        </is>
      </c>
      <c r="R330" s="51" t="n"/>
      <c r="S330" s="52" t="n"/>
    </row>
    <row r="331" ht="69" customHeight="1" s="71">
      <c r="A331" s="48" t="n"/>
      <c r="B331" s="48" t="n"/>
      <c r="C331" s="48" t="n"/>
      <c r="D331" s="48" t="n"/>
      <c r="E331" s="48" t="n"/>
      <c r="F331" s="48" t="n"/>
      <c r="G331" s="48" t="n"/>
      <c r="H331" s="22" t="n">
        <v>2</v>
      </c>
      <c r="I331" s="23" t="inlineStr">
        <is>
          <t>Give it a real task: *"Read everything in this folder and produce a single markdown document summarising what I've learned across Modules 0–7, organised by theme rather than by module, and flagging where my notes contradict each other."*</t>
        </is>
      </c>
      <c r="J331" s="24" t="inlineStr">
        <is>
          <t>To do</t>
        </is>
      </c>
      <c r="K331" s="25" t="n"/>
      <c r="L331" s="25" t="n"/>
      <c r="M331" s="26" t="n"/>
      <c r="N331" s="48" t="n"/>
      <c r="O331" s="48" t="n"/>
      <c r="P331" s="48" t="n"/>
      <c r="Q331" s="48" t="n"/>
      <c r="R331" s="48" t="n"/>
      <c r="S331" s="48" t="n"/>
    </row>
    <row r="332" ht="30" customHeight="1" s="71">
      <c r="A332" s="48" t="n"/>
      <c r="B332" s="48" t="n"/>
      <c r="C332" s="48" t="n"/>
      <c r="D332" s="48" t="n"/>
      <c r="E332" s="48" t="n"/>
      <c r="F332" s="48" t="n"/>
      <c r="G332" s="48" t="n"/>
      <c r="H332" s="22" t="n">
        <v>3</v>
      </c>
      <c r="I332" s="23" t="inlineStr">
        <is>
          <t>Watch what it does rather than only reading the output. Note where it made choices you wouldn't have.</t>
        </is>
      </c>
      <c r="J332" s="24" t="inlineStr">
        <is>
          <t>To do</t>
        </is>
      </c>
      <c r="K332" s="25" t="n"/>
      <c r="L332" s="25" t="n"/>
      <c r="M332" s="26" t="n"/>
      <c r="N332" s="48" t="n"/>
      <c r="O332" s="48" t="n"/>
      <c r="P332" s="48" t="n"/>
      <c r="Q332" s="48" t="n"/>
      <c r="R332" s="48" t="n"/>
      <c r="S332" s="48" t="n"/>
    </row>
    <row r="333" ht="30" customHeight="1" s="71">
      <c r="A333" s="48" t="n"/>
      <c r="B333" s="48" t="n"/>
      <c r="C333" s="48" t="n"/>
      <c r="D333" s="48" t="n"/>
      <c r="E333" s="48" t="n"/>
      <c r="F333" s="48" t="n"/>
      <c r="G333" s="48" t="n"/>
      <c r="H333" s="22" t="n">
        <v>4</v>
      </c>
      <c r="I333" s="23" t="inlineStr">
        <is>
          <t>Judge the deliverable: what's right, what's wrong, what would you have to fix before showing anyone?</t>
        </is>
      </c>
      <c r="J333" s="24" t="inlineStr">
        <is>
          <t>To do</t>
        </is>
      </c>
      <c r="K333" s="25" t="n"/>
      <c r="L333" s="25" t="n"/>
      <c r="M333" s="26" t="n"/>
      <c r="N333" s="48" t="n"/>
      <c r="O333" s="48" t="n"/>
      <c r="P333" s="48" t="n"/>
      <c r="Q333" s="48" t="n"/>
      <c r="R333" s="48" t="n"/>
      <c r="S333" s="48" t="n"/>
    </row>
    <row r="334" ht="30" customHeight="1" s="71">
      <c r="A334" s="49" t="n"/>
      <c r="B334" s="49" t="n"/>
      <c r="C334" s="49" t="n"/>
      <c r="D334" s="49" t="n"/>
      <c r="E334" s="49" t="n"/>
      <c r="F334" s="49" t="n"/>
      <c r="G334" s="49" t="n"/>
      <c r="H334" s="27" t="n">
        <v>5</v>
      </c>
      <c r="I334" s="28" t="inlineStr">
        <is>
          <t>Rerun with a better-specified prompt and compare the two outputs.</t>
        </is>
      </c>
      <c r="J334" s="29" t="inlineStr">
        <is>
          <t>To do</t>
        </is>
      </c>
      <c r="K334" s="31" t="n"/>
      <c r="L334" s="31" t="n"/>
      <c r="M334" s="30" t="n"/>
      <c r="N334" s="49" t="n"/>
      <c r="O334" s="49" t="n"/>
      <c r="P334" s="49" t="n"/>
      <c r="Q334" s="49" t="n"/>
      <c r="R334" s="49" t="n"/>
      <c r="S334" s="49" t="n"/>
    </row>
    <row r="335" ht="19.5" customHeight="1" s="71">
      <c r="A335" s="65" t="inlineStr">
        <is>
          <t>7.3</t>
        </is>
      </c>
      <c r="B335" s="54" t="n">
        <v>7</v>
      </c>
      <c r="C335" s="64" t="inlineStr">
        <is>
          <t>Practise: Working with files, folders and outputs</t>
        </is>
      </c>
      <c r="D335" s="54" t="inlineStr">
        <is>
          <t>Practise</t>
        </is>
      </c>
      <c r="E335" s="54" t="n">
        <v>3</v>
      </c>
      <c r="F335" s="47">
        <f>IF(COUNTIF($J335:$J339,"Done")=5,"Done",IF(COUNTIF($J335:$J339,"Blocked")&gt;0,"Blocked",IF(COUNTIF($J335:$J339,"To do")=5,"Not started","In progress")))</f>
        <v/>
      </c>
      <c r="G335" s="47">
        <f>IF(SUM($M335:$M339)=0,"",SUM($M335:$M339))</f>
        <v/>
      </c>
      <c r="H335" s="17" t="n">
        <v>1</v>
      </c>
      <c r="I335" s="18" t="inlineStr">
        <is>
          <t>Read the article on surfaces and what's available where.</t>
        </is>
      </c>
      <c r="J335" s="19" t="inlineStr">
        <is>
          <t>To do</t>
        </is>
      </c>
      <c r="K335" s="20" t="n"/>
      <c r="L335" s="20" t="n"/>
      <c r="M335" s="21" t="n"/>
      <c r="N335" s="53" t="inlineStr">
        <is>
          <t>Cowork produces real files. Learn how to structure work so the outputs land where you want them and look how you want them.</t>
        </is>
      </c>
      <c r="O335" s="53" t="inlineStr">
        <is>
          <t>• Use Cowork on web, desktop and mobile — https://support.claude.com/en/articles/15520349-use-claude-cowork-on-web-desktop-and-mobile
• Claude Academy — https://academy.claude.com</t>
        </is>
      </c>
      <c r="P335" s="53" t="inlineStr">
        <is>
          <t>Specifying format in advance is far cheaper than fixing it afterwards. This is the same lesson as Task 1.2, showing up in a new place.
---
---</t>
        </is>
      </c>
      <c r="Q335" s="53" t="inlineStr">
        <is>
          <t>—</t>
        </is>
      </c>
      <c r="R335" s="54" t="n"/>
      <c r="S335" s="53" t="n"/>
    </row>
    <row r="336" ht="55.5" customHeight="1" s="71">
      <c r="A336" s="48" t="n"/>
      <c r="B336" s="48" t="n"/>
      <c r="C336" s="48" t="n"/>
      <c r="D336" s="48" t="n"/>
      <c r="E336" s="48" t="n"/>
      <c r="F336" s="48" t="n"/>
      <c r="G336" s="48" t="n"/>
      <c r="H336" s="22" t="n">
        <v>2</v>
      </c>
      <c r="I336" s="23" t="inlineStr">
        <is>
          <t>Run three tasks that produce different output types: a document, a spreadsheet, and a slide deck. Suggested — turn your Harvest Hub user stories into a spreadsheet, your PRD into a deck, and your critiques into a formatted report.</t>
        </is>
      </c>
      <c r="J336" s="24" t="inlineStr">
        <is>
          <t>To do</t>
        </is>
      </c>
      <c r="K336" s="25" t="n"/>
      <c r="L336" s="25" t="n"/>
      <c r="M336" s="26" t="n"/>
      <c r="N336" s="48" t="n"/>
      <c r="O336" s="48" t="n"/>
      <c r="P336" s="48" t="n"/>
      <c r="Q336" s="48" t="n"/>
      <c r="R336" s="48" t="n"/>
      <c r="S336" s="48" t="n"/>
    </row>
    <row r="337" ht="30" customHeight="1" s="71">
      <c r="A337" s="48" t="n"/>
      <c r="B337" s="48" t="n"/>
      <c r="C337" s="48" t="n"/>
      <c r="D337" s="48" t="n"/>
      <c r="E337" s="48" t="n"/>
      <c r="F337" s="48" t="n"/>
      <c r="G337" s="48" t="n"/>
      <c r="H337" s="22" t="n">
        <v>3</v>
      </c>
      <c r="I337" s="23" t="inlineStr">
        <is>
          <t>For each, specify the format requirements up front rather than accepting the default.</t>
        </is>
      </c>
      <c r="J337" s="24" t="inlineStr">
        <is>
          <t>To do</t>
        </is>
      </c>
      <c r="K337" s="25" t="n"/>
      <c r="L337" s="25" t="n"/>
      <c r="M337" s="26" t="n"/>
      <c r="N337" s="48" t="n"/>
      <c r="O337" s="48" t="n"/>
      <c r="P337" s="48" t="n"/>
      <c r="Q337" s="48" t="n"/>
      <c r="R337" s="48" t="n"/>
      <c r="S337" s="48" t="n"/>
    </row>
    <row r="338" ht="19.5" customHeight="1" s="71">
      <c r="A338" s="48" t="n"/>
      <c r="B338" s="48" t="n"/>
      <c r="C338" s="48" t="n"/>
      <c r="D338" s="48" t="n"/>
      <c r="E338" s="48" t="n"/>
      <c r="F338" s="48" t="n"/>
      <c r="G338" s="48" t="n"/>
      <c r="H338" s="22" t="n">
        <v>4</v>
      </c>
      <c r="I338" s="23" t="inlineStr">
        <is>
          <t>Iterate on one until the output is genuinely presentable.</t>
        </is>
      </c>
      <c r="J338" s="24" t="inlineStr">
        <is>
          <t>To do</t>
        </is>
      </c>
      <c r="K338" s="25" t="n"/>
      <c r="L338" s="25" t="n"/>
      <c r="M338" s="26" t="n"/>
      <c r="N338" s="48" t="n"/>
      <c r="O338" s="48" t="n"/>
      <c r="P338" s="48" t="n"/>
      <c r="Q338" s="48" t="n"/>
      <c r="R338" s="48" t="n"/>
      <c r="S338" s="48" t="n"/>
    </row>
    <row r="339" ht="30" customHeight="1" s="71">
      <c r="A339" s="49" t="n"/>
      <c r="B339" s="49" t="n"/>
      <c r="C339" s="49" t="n"/>
      <c r="D339" s="49" t="n"/>
      <c r="E339" s="49" t="n"/>
      <c r="F339" s="49" t="n"/>
      <c r="G339" s="49" t="n"/>
      <c r="H339" s="27" t="n">
        <v>5</v>
      </c>
      <c r="I339" s="28" t="inlineStr">
        <is>
          <t>Note in your prompt library what format instructions actually made a difference.</t>
        </is>
      </c>
      <c r="J339" s="29" t="inlineStr">
        <is>
          <t>To do</t>
        </is>
      </c>
      <c r="K339" s="31" t="n"/>
      <c r="L339" s="31" t="n"/>
      <c r="M339" s="30" t="n"/>
      <c r="N339" s="49" t="n"/>
      <c r="O339" s="49" t="n"/>
      <c r="P339" s="49" t="n"/>
      <c r="Q339" s="49" t="n"/>
      <c r="R339" s="49" t="n"/>
      <c r="S339" s="49" t="n"/>
    </row>
    <row r="340" ht="30" customHeight="1" s="71">
      <c r="A340" s="60" t="inlineStr">
        <is>
          <t>7.4</t>
        </is>
      </c>
      <c r="B340" s="51" t="n">
        <v>7</v>
      </c>
      <c r="C340" s="50" t="inlineStr">
        <is>
          <t>Learn: Connectors</t>
        </is>
      </c>
      <c r="D340" s="51" t="inlineStr">
        <is>
          <t>Learn</t>
        </is>
      </c>
      <c r="E340" s="51" t="n">
        <v>3</v>
      </c>
      <c r="F340" s="55">
        <f>IF(COUNTIF($J340:$J344,"Done")=5,"Done",IF(COUNTIF($J340:$J344,"Blocked")&gt;0,"Blocked",IF(COUNTIF($J340:$J344,"To do")=5,"Not started","In progress")))</f>
        <v/>
      </c>
      <c r="G340" s="55">
        <f>IF(SUM($M340:$M344)=0,"",SUM($M340:$M344))</f>
        <v/>
      </c>
      <c r="H340" s="17" t="n">
        <v>1</v>
      </c>
      <c r="I340" s="18" t="inlineStr">
        <is>
          <t>Ask your mentor which connectors we use and which you're permitted to enable.</t>
        </is>
      </c>
      <c r="J340" s="19" t="inlineStr">
        <is>
          <t>To do</t>
        </is>
      </c>
      <c r="K340" s="20" t="n"/>
      <c r="L340" s="20" t="n"/>
      <c r="M340" s="21" t="n"/>
      <c r="N340" s="52" t="inlineStr">
        <is>
          <t>Connectors let Claude reach the tools your work already lives in — Jira, Notion, meeting transcripts. This is where delegation gets genuinely useful.</t>
        </is>
      </c>
      <c r="O340" s="52" t="inlineStr">
        <is>
          <t>• Claude Help Center — search "connectors": https://support.claude.com
• Your Jira sandbox from Task 5.4</t>
        </is>
      </c>
      <c r="P340" s="52" t="inlineStr">
        <is>
          <t>Step 4 is worth the extra few minutes. A connector reading real data produces very convincing output, so a quick check against the source is what turns that into something you can rely on.
---
---</t>
        </is>
      </c>
      <c r="Q340" s="52" t="inlineStr">
        <is>
          <t>5.4</t>
        </is>
      </c>
      <c r="R340" s="51" t="n"/>
      <c r="S340" s="52" t="n"/>
    </row>
    <row r="341" ht="30" customHeight="1" s="71">
      <c r="A341" s="48" t="n"/>
      <c r="B341" s="48" t="n"/>
      <c r="C341" s="48" t="n"/>
      <c r="D341" s="48" t="n"/>
      <c r="E341" s="48" t="n"/>
      <c r="F341" s="48" t="n"/>
      <c r="G341" s="48" t="n"/>
      <c r="H341" s="22" t="n">
        <v>2</v>
      </c>
      <c r="I341" s="23" t="inlineStr">
        <is>
          <t>Connect at least one — Jira is the most useful for your role.</t>
        </is>
      </c>
      <c r="J341" s="24" t="inlineStr">
        <is>
          <t>To do</t>
        </is>
      </c>
      <c r="K341" s="25" t="n"/>
      <c r="L341" s="25" t="n"/>
      <c r="M341" s="26" t="n"/>
      <c r="N341" s="48" t="n"/>
      <c r="O341" s="48" t="n"/>
      <c r="P341" s="48" t="n"/>
      <c r="Q341" s="48" t="n"/>
      <c r="R341" s="48" t="n"/>
      <c r="S341" s="48" t="n"/>
    </row>
    <row r="342" ht="42.75" customHeight="1" s="71">
      <c r="A342" s="48" t="n"/>
      <c r="B342" s="48" t="n"/>
      <c r="C342" s="48" t="n"/>
      <c r="D342" s="48" t="n"/>
      <c r="E342" s="48" t="n"/>
      <c r="F342" s="48" t="n"/>
      <c r="G342" s="48" t="n"/>
      <c r="H342" s="22" t="n">
        <v>3</v>
      </c>
      <c r="I342" s="23" t="inlineStr">
        <is>
          <t>Run three tasks through it: summarise the current sprint, list every ticket assigned to you with its status, and draft acceptance criteria for a ticket that's missing them.</t>
        </is>
      </c>
      <c r="J342" s="24" t="inlineStr">
        <is>
          <t>To do</t>
        </is>
      </c>
      <c r="K342" s="25" t="n"/>
      <c r="L342" s="25" t="n"/>
      <c r="M342" s="26" t="n"/>
      <c r="N342" s="48" t="n"/>
      <c r="O342" s="48" t="n"/>
      <c r="P342" s="48" t="n"/>
      <c r="Q342" s="48" t="n"/>
      <c r="R342" s="48" t="n"/>
      <c r="S342" s="48" t="n"/>
    </row>
    <row r="343" ht="30" customHeight="1" s="71">
      <c r="A343" s="48" t="n"/>
      <c r="B343" s="48" t="n"/>
      <c r="C343" s="48" t="n"/>
      <c r="D343" s="48" t="n"/>
      <c r="E343" s="48" t="n"/>
      <c r="F343" s="48" t="n"/>
      <c r="G343" s="48" t="n"/>
      <c r="H343" s="22" t="n">
        <v>4</v>
      </c>
      <c r="I343" s="23" t="inlineStr">
        <is>
          <t>Verify every output against the source. Note anything Claude got wrong or stale.</t>
        </is>
      </c>
      <c r="J343" s="24" t="inlineStr">
        <is>
          <t>To do</t>
        </is>
      </c>
      <c r="K343" s="25" t="n"/>
      <c r="L343" s="25" t="n"/>
      <c r="M343" s="26" t="n"/>
      <c r="N343" s="48" t="n"/>
      <c r="O343" s="48" t="n"/>
      <c r="P343" s="48" t="n"/>
      <c r="Q343" s="48" t="n"/>
      <c r="R343" s="48" t="n"/>
      <c r="S343" s="48" t="n"/>
    </row>
    <row r="344" ht="30" customHeight="1" s="71">
      <c r="A344" s="49" t="n"/>
      <c r="B344" s="49" t="n"/>
      <c r="C344" s="49" t="n"/>
      <c r="D344" s="49" t="n"/>
      <c r="E344" s="49" t="n"/>
      <c r="F344" s="49" t="n"/>
      <c r="G344" s="49" t="n"/>
      <c r="H344" s="27" t="n">
        <v>5</v>
      </c>
      <c r="I344" s="28" t="inlineStr">
        <is>
          <t>Write down three recurring tasks in your week that a connector could handle.</t>
        </is>
      </c>
      <c r="J344" s="29" t="inlineStr">
        <is>
          <t>To do</t>
        </is>
      </c>
      <c r="K344" s="31" t="n"/>
      <c r="L344" s="31" t="n"/>
      <c r="M344" s="30" t="n"/>
      <c r="N344" s="49" t="n"/>
      <c r="O344" s="49" t="n"/>
      <c r="P344" s="49" t="n"/>
      <c r="Q344" s="49" t="n"/>
      <c r="R344" s="49" t="n"/>
      <c r="S344" s="49" t="n"/>
    </row>
    <row r="345" ht="19.5" customHeight="1" s="71">
      <c r="A345" s="65" t="inlineStr">
        <is>
          <t>7.5</t>
        </is>
      </c>
      <c r="B345" s="54" t="n">
        <v>7</v>
      </c>
      <c r="C345" s="64" t="inlineStr">
        <is>
          <t>Learn: Working safely</t>
        </is>
      </c>
      <c r="D345" s="54" t="inlineStr">
        <is>
          <t>Learn</t>
        </is>
      </c>
      <c r="E345" s="54" t="n">
        <v>2</v>
      </c>
      <c r="F345" s="47">
        <f>IF(COUNTIF($J345:$J349,"Done")=5,"Done",IF(COUNTIF($J345:$J349,"Blocked")&gt;0,"Blocked",IF(COUNTIF($J345:$J349,"To do")=5,"Not started","In progress")))</f>
        <v/>
      </c>
      <c r="G345" s="47">
        <f>IF(SUM($M345:$M349)=0,"",SUM($M345:$M349))</f>
        <v/>
      </c>
      <c r="H345" s="17" t="n">
        <v>1</v>
      </c>
      <c r="I345" s="18" t="inlineStr">
        <is>
          <t>Read the article fully.</t>
        </is>
      </c>
      <c r="J345" s="19" t="inlineStr">
        <is>
          <t>To do</t>
        </is>
      </c>
      <c r="K345" s="20" t="n"/>
      <c r="L345" s="20" t="n"/>
      <c r="M345" s="21" t="n"/>
      <c r="N345" s="53" t="inlineStr">
        <is>
          <t>Cowork executes real actions on real files. Understand the risks and the habits that manage them.</t>
        </is>
      </c>
      <c r="O345" s="53" t="inlineStr">
        <is>
          <t>• Use Claude Cowork safely — https://support.claude.com/en/articles/13364135-use-claude-cowork-safely</t>
        </is>
      </c>
      <c r="P345" s="53" t="inlineStr">
        <is>
          <t>Client data is the sensitive category. When in doubt about whether something can be shared with a tool, ask before rather than after.
---
---</t>
        </is>
      </c>
      <c r="Q345" s="53" t="inlineStr">
        <is>
          <t>—</t>
        </is>
      </c>
      <c r="R345" s="54" t="n"/>
      <c r="S345" s="53" t="n"/>
    </row>
    <row r="346" ht="42.75" customHeight="1" s="71">
      <c r="A346" s="48" t="n"/>
      <c r="B346" s="48" t="n"/>
      <c r="C346" s="48" t="n"/>
      <c r="D346" s="48" t="n"/>
      <c r="E346" s="48" t="n"/>
      <c r="F346" s="48" t="n"/>
      <c r="G346" s="48" t="n"/>
      <c r="H346" s="22" t="n">
        <v>2</v>
      </c>
      <c r="I346" s="23" t="inlineStr">
        <is>
          <t>Write down what to watch for: scope creep beyond what you asked, access to files or sites you didn't mention, and anything that feels off.</t>
        </is>
      </c>
      <c r="J346" s="24" t="inlineStr">
        <is>
          <t>To do</t>
        </is>
      </c>
      <c r="K346" s="25" t="n"/>
      <c r="L346" s="25" t="n"/>
      <c r="M346" s="26" t="n"/>
      <c r="N346" s="48" t="n"/>
      <c r="O346" s="48" t="n"/>
      <c r="P346" s="48" t="n"/>
      <c r="Q346" s="48" t="n"/>
      <c r="R346" s="48" t="n"/>
      <c r="S346" s="48" t="n"/>
    </row>
    <row r="347" ht="19.5" customHeight="1" s="71">
      <c r="A347" s="48" t="n"/>
      <c r="B347" s="48" t="n"/>
      <c r="C347" s="48" t="n"/>
      <c r="D347" s="48" t="n"/>
      <c r="E347" s="48" t="n"/>
      <c r="F347" s="48" t="n"/>
      <c r="G347" s="48" t="n"/>
      <c r="H347" s="22" t="n">
        <v>3</v>
      </c>
      <c r="I347" s="23" t="inlineStr">
        <is>
          <t>Note the rules for scheduled tasks that run unsupervised.</t>
        </is>
      </c>
      <c r="J347" s="24" t="inlineStr">
        <is>
          <t>To do</t>
        </is>
      </c>
      <c r="K347" s="25" t="n"/>
      <c r="L347" s="25" t="n"/>
      <c r="M347" s="26" t="n"/>
      <c r="N347" s="48" t="n"/>
      <c r="O347" s="48" t="n"/>
      <c r="P347" s="48" t="n"/>
      <c r="Q347" s="48" t="n"/>
      <c r="R347" s="48" t="n"/>
      <c r="S347" s="48" t="n"/>
    </row>
    <row r="348" ht="30" customHeight="1" s="71">
      <c r="A348" s="48" t="n"/>
      <c r="B348" s="48" t="n"/>
      <c r="C348" s="48" t="n"/>
      <c r="D348" s="48" t="n"/>
      <c r="E348" s="48" t="n"/>
      <c r="F348" s="48" t="n"/>
      <c r="G348" s="48" t="n"/>
      <c r="H348" s="22" t="n">
        <v>4</v>
      </c>
      <c r="I348" s="23" t="inlineStr">
        <is>
          <t>Write your own three-line safety rule for client work — what you'll never point Cowork at without asking first.</t>
        </is>
      </c>
      <c r="J348" s="24" t="inlineStr">
        <is>
          <t>To do</t>
        </is>
      </c>
      <c r="K348" s="25" t="n"/>
      <c r="L348" s="25" t="n"/>
      <c r="M348" s="26" t="n"/>
      <c r="N348" s="48" t="n"/>
      <c r="O348" s="48" t="n"/>
      <c r="P348" s="48" t="n"/>
      <c r="Q348" s="48" t="n"/>
      <c r="R348" s="48" t="n"/>
      <c r="S348" s="48" t="n"/>
    </row>
    <row r="349" ht="30" customHeight="1" s="71">
      <c r="A349" s="49" t="n"/>
      <c r="B349" s="49" t="n"/>
      <c r="C349" s="49" t="n"/>
      <c r="D349" s="49" t="n"/>
      <c r="E349" s="49" t="n"/>
      <c r="F349" s="49" t="n"/>
      <c r="G349" s="49" t="n"/>
      <c r="H349" s="27" t="n">
        <v>5</v>
      </c>
      <c r="I349" s="28" t="inlineStr">
        <is>
          <t>Discuss that rule with your mentor and adjust it to our policies.</t>
        </is>
      </c>
      <c r="J349" s="29" t="inlineStr">
        <is>
          <t>To do</t>
        </is>
      </c>
      <c r="K349" s="31" t="n"/>
      <c r="L349" s="31" t="n"/>
      <c r="M349" s="30" t="n"/>
      <c r="N349" s="49" t="n"/>
      <c r="O349" s="49" t="n"/>
      <c r="P349" s="49" t="n"/>
      <c r="Q349" s="49" t="n"/>
      <c r="R349" s="49" t="n"/>
      <c r="S349" s="49" t="n"/>
    </row>
    <row r="350" ht="19.5" customHeight="1" s="71">
      <c r="A350" s="60" t="inlineStr">
        <is>
          <t>7.6</t>
        </is>
      </c>
      <c r="B350" s="51" t="n">
        <v>7</v>
      </c>
      <c r="C350" s="50" t="inlineStr">
        <is>
          <t>Learn: Using the Skills we already have</t>
        </is>
      </c>
      <c r="D350" s="51" t="inlineStr">
        <is>
          <t>Learn</t>
        </is>
      </c>
      <c r="E350" s="51" t="n">
        <v>3</v>
      </c>
      <c r="F350" s="55">
        <f>IF(COUNTIF($J350:$J354,"Done")=5,"Done",IF(COUNTIF($J350:$J354,"Blocked")&gt;0,"Blocked",IF(COUNTIF($J350:$J354,"To do")=5,"Not started","In progress")))</f>
        <v/>
      </c>
      <c r="G350" s="55">
        <f>IF(SUM($M350:$M354)=0,"",SUM($M350:$M354))</f>
        <v/>
      </c>
      <c r="H350" s="17" t="n">
        <v>1</v>
      </c>
      <c r="I350" s="18" t="inlineStr">
        <is>
          <t>Read the skills overview.</t>
        </is>
      </c>
      <c r="J350" s="19" t="inlineStr">
        <is>
          <t>To do</t>
        </is>
      </c>
      <c r="K350" s="20" t="n"/>
      <c r="L350" s="20" t="n"/>
      <c r="M350" s="21" t="n"/>
      <c r="N350" s="52" t="inlineStr">
        <is>
          <t>Skills package a workflow so Claude performs it the same way every time. We have several built for our exact process — learn them before writing your own.</t>
        </is>
      </c>
      <c r="O350" s="52" t="inlineStr">
        <is>
          <t>• Use skills in Claude — https://support.claude.com/en/articles/12512180-use-skills-in-claude
• Anthropic public skills repository — https://github.com/anthropics/skills
• Internal Skills — *ask your mentor for access*</t>
        </is>
      </c>
      <c r="P350" s="52" t="inlineStr">
        <is>
          <t>Reading a Skill's instructions is also a masterclass in how our team thinks about that task. Treat them as documentation of our standards, not just as tools.
---
---</t>
        </is>
      </c>
      <c r="Q350" s="52" t="inlineStr">
        <is>
          <t>4.8</t>
        </is>
      </c>
      <c r="R350" s="51" t="n"/>
      <c r="S350" s="52" t="n"/>
    </row>
    <row r="351" ht="42.75" customHeight="1" s="71">
      <c r="A351" s="48" t="n"/>
      <c r="B351" s="48" t="n"/>
      <c r="C351" s="48" t="n"/>
      <c r="D351" s="48" t="n"/>
      <c r="E351" s="48" t="n"/>
      <c r="F351" s="48" t="n"/>
      <c r="G351" s="48" t="n"/>
      <c r="H351" s="22" t="n">
        <v>2</v>
      </c>
      <c r="I351" s="23" t="inlineStr">
        <is>
          <t>Ask your mentor to walk you through our internal Skills — prototype analysis, product explainer and user story generator among them.</t>
        </is>
      </c>
      <c r="J351" s="24" t="inlineStr">
        <is>
          <t>To do</t>
        </is>
      </c>
      <c r="K351" s="25" t="n"/>
      <c r="L351" s="25" t="n"/>
      <c r="M351" s="26" t="n"/>
      <c r="N351" s="48" t="n"/>
      <c r="O351" s="48" t="n"/>
      <c r="P351" s="48" t="n"/>
      <c r="Q351" s="48" t="n"/>
      <c r="R351" s="48" t="n"/>
      <c r="S351" s="48" t="n"/>
    </row>
    <row r="352" ht="30" customHeight="1" s="71">
      <c r="A352" s="48" t="n"/>
      <c r="B352" s="48" t="n"/>
      <c r="C352" s="48" t="n"/>
      <c r="D352" s="48" t="n"/>
      <c r="E352" s="48" t="n"/>
      <c r="F352" s="48" t="n"/>
      <c r="G352" s="48" t="n"/>
      <c r="H352" s="22" t="n">
        <v>3</v>
      </c>
      <c r="I352" s="23" t="inlineStr">
        <is>
          <t>For each, read its instructions and write one line on what it does and when it triggers.</t>
        </is>
      </c>
      <c r="J352" s="24" t="inlineStr">
        <is>
          <t>To do</t>
        </is>
      </c>
      <c r="K352" s="25" t="n"/>
      <c r="L352" s="25" t="n"/>
      <c r="M352" s="26" t="n"/>
      <c r="N352" s="48" t="n"/>
      <c r="O352" s="48" t="n"/>
      <c r="P352" s="48" t="n"/>
      <c r="Q352" s="48" t="n"/>
      <c r="R352" s="48" t="n"/>
      <c r="S352" s="48" t="n"/>
    </row>
    <row r="353" ht="42.75" customHeight="1" s="71">
      <c r="A353" s="48" t="n"/>
      <c r="B353" s="48" t="n"/>
      <c r="C353" s="48" t="n"/>
      <c r="D353" s="48" t="n"/>
      <c r="E353" s="48" t="n"/>
      <c r="F353" s="48" t="n"/>
      <c r="G353" s="48" t="n"/>
      <c r="H353" s="22" t="n">
        <v>4</v>
      </c>
      <c r="I353" s="23" t="inlineStr">
        <is>
          <t>Use at least two of them on your Harvest Hub work — run the prototype analyser over your Task 4.8 screen and act on what it finds.</t>
        </is>
      </c>
      <c r="J353" s="24" t="inlineStr">
        <is>
          <t>To do</t>
        </is>
      </c>
      <c r="K353" s="25" t="n"/>
      <c r="L353" s="25" t="n"/>
      <c r="M353" s="26" t="n"/>
      <c r="N353" s="48" t="n"/>
      <c r="O353" s="48" t="n"/>
      <c r="P353" s="48" t="n"/>
      <c r="Q353" s="48" t="n"/>
      <c r="R353" s="48" t="n"/>
      <c r="S353" s="48" t="n"/>
    </row>
    <row r="354" ht="30" customHeight="1" s="71">
      <c r="A354" s="49" t="n"/>
      <c r="B354" s="49" t="n"/>
      <c r="C354" s="49" t="n"/>
      <c r="D354" s="49" t="n"/>
      <c r="E354" s="49" t="n"/>
      <c r="F354" s="49" t="n"/>
      <c r="G354" s="49" t="n"/>
      <c r="H354" s="27" t="n">
        <v>5</v>
      </c>
      <c r="I354" s="28" t="inlineStr">
        <is>
          <t>Note what the Skill caught that your own review in Task 4.8 missed.</t>
        </is>
      </c>
      <c r="J354" s="29" t="inlineStr">
        <is>
          <t>To do</t>
        </is>
      </c>
      <c r="K354" s="31" t="n"/>
      <c r="L354" s="31" t="n"/>
      <c r="M354" s="30" t="n"/>
      <c r="N354" s="49" t="n"/>
      <c r="O354" s="49" t="n"/>
      <c r="P354" s="49" t="n"/>
      <c r="Q354" s="49" t="n"/>
      <c r="R354" s="49" t="n"/>
      <c r="S354" s="49" t="n"/>
    </row>
    <row r="355" ht="30" customHeight="1" s="71">
      <c r="A355" s="65" t="inlineStr">
        <is>
          <t>7.7</t>
        </is>
      </c>
      <c r="B355" s="54" t="n">
        <v>7</v>
      </c>
      <c r="C355" s="64" t="inlineStr">
        <is>
          <t>Build: Write your own Skill</t>
        </is>
      </c>
      <c r="D355" s="54" t="inlineStr">
        <is>
          <t>Build</t>
        </is>
      </c>
      <c r="E355" s="54" t="n">
        <v>4</v>
      </c>
      <c r="F355" s="47">
        <f>IF(COUNTIF($J355:$J359,"Done")=5,"Done",IF(COUNTIF($J355:$J359,"Blocked")&gt;0,"Blocked",IF(COUNTIF($J355:$J359,"To do")=5,"Not started","In progress")))</f>
        <v/>
      </c>
      <c r="G355" s="47">
        <f>IF(SUM($M355:$M359)=0,"",SUM($M355:$M359))</f>
        <v/>
      </c>
      <c r="H355" s="17" t="n">
        <v>1</v>
      </c>
      <c r="I355" s="18" t="inlineStr">
        <is>
          <t>Read both help articles and look at two or three example skills in the repository.</t>
        </is>
      </c>
      <c r="J355" s="19" t="inlineStr">
        <is>
          <t>To do</t>
        </is>
      </c>
      <c r="K355" s="20" t="n"/>
      <c r="L355" s="20" t="n"/>
      <c r="M355" s="21" t="n"/>
      <c r="N355" s="53" t="inlineStr">
        <is>
          <t>Take a workflow you now repeat and package it so it runs consistently — for you and eventually for others.</t>
        </is>
      </c>
      <c r="O355" s="53" t="inlineStr">
        <is>
          <t>• How to create custom skills — https://support.claude.com/en/articles/12512198-how-to-create-custom-skills
• Create a skill through conversation — https://support.claude.com/en/articles/12599426-how-to-create-a-skill-with-claude-through-conversation
• Anthropic skills repository — https://github.com/anthropics/skills</t>
        </is>
      </c>
      <c r="P355" s="53" t="inlineStr">
        <is>
          <t>The description field is what determines whether a Skill fires when it should. Vague descriptions produce Skills that never trigger — spend time on it.
---
---</t>
        </is>
      </c>
      <c r="Q355" s="53" t="inlineStr">
        <is>
          <t>3.2, 5.11</t>
        </is>
      </c>
      <c r="R355" s="54" t="n"/>
      <c r="S355" s="53" t="n"/>
    </row>
    <row r="356" ht="55.5" customHeight="1" s="71">
      <c r="A356" s="48" t="n"/>
      <c r="B356" s="48" t="n"/>
      <c r="C356" s="48" t="n"/>
      <c r="D356" s="48" t="n"/>
      <c r="E356" s="48" t="n"/>
      <c r="F356" s="48" t="n"/>
      <c r="G356" s="48" t="n"/>
      <c r="H356" s="22" t="n">
        <v>2</v>
      </c>
      <c r="I356" s="23" t="inlineStr">
        <is>
          <t>Choose a workflow you've repeated at least three times in this plan. Your structured screen critique from Task 3.2 is a good candidate; so is your weekly status update from Task 5.11, so Claude drafts it in your format every time.</t>
        </is>
      </c>
      <c r="J356" s="24" t="inlineStr">
        <is>
          <t>To do</t>
        </is>
      </c>
      <c r="K356" s="25" t="n"/>
      <c r="L356" s="25" t="n"/>
      <c r="M356" s="26" t="n"/>
      <c r="N356" s="48" t="n"/>
      <c r="O356" s="48" t="n"/>
      <c r="P356" s="48" t="n"/>
      <c r="Q356" s="48" t="n"/>
      <c r="R356" s="48" t="n"/>
      <c r="S356" s="48" t="n"/>
    </row>
    <row r="357" ht="30" customHeight="1" s="71">
      <c r="A357" s="48" t="n"/>
      <c r="B357" s="48" t="n"/>
      <c r="C357" s="48" t="n"/>
      <c r="D357" s="48" t="n"/>
      <c r="E357" s="48" t="n"/>
      <c r="F357" s="48" t="n"/>
      <c r="G357" s="48" t="n"/>
      <c r="H357" s="22" t="n">
        <v>3</v>
      </c>
      <c r="I357" s="23" t="inlineStr">
        <is>
          <t>Build it using the conversational path first: describe your process to Claude and let it draft the skill.</t>
        </is>
      </c>
      <c r="J357" s="24" t="inlineStr">
        <is>
          <t>To do</t>
        </is>
      </c>
      <c r="K357" s="25" t="n"/>
      <c r="L357" s="25" t="n"/>
      <c r="M357" s="26" t="n"/>
      <c r="N357" s="48" t="n"/>
      <c r="O357" s="48" t="n"/>
      <c r="P357" s="48" t="n"/>
      <c r="Q357" s="48" t="n"/>
      <c r="R357" s="48" t="n"/>
      <c r="S357" s="48" t="n"/>
    </row>
    <row r="358" ht="42.75" customHeight="1" s="71">
      <c r="A358" s="48" t="n"/>
      <c r="B358" s="48" t="n"/>
      <c r="C358" s="48" t="n"/>
      <c r="D358" s="48" t="n"/>
      <c r="E358" s="48" t="n"/>
      <c r="F358" s="48" t="n"/>
      <c r="G358" s="48" t="n"/>
      <c r="H358" s="22" t="n">
        <v>4</v>
      </c>
      <c r="I358" s="23" t="inlineStr">
        <is>
          <t>Read the generated `SKILL.md` critically. Tighten the description so it triggers at the right times, and make the instructions specific enough that the output is consistent.</t>
        </is>
      </c>
      <c r="J358" s="24" t="inlineStr">
        <is>
          <t>To do</t>
        </is>
      </c>
      <c r="K358" s="25" t="n"/>
      <c r="L358" s="25" t="n"/>
      <c r="M358" s="26" t="n"/>
      <c r="N358" s="48" t="n"/>
      <c r="O358" s="48" t="n"/>
      <c r="P358" s="48" t="n"/>
      <c r="Q358" s="48" t="n"/>
      <c r="R358" s="48" t="n"/>
      <c r="S358" s="48" t="n"/>
    </row>
    <row r="359" ht="30" customHeight="1" s="71">
      <c r="A359" s="49" t="n"/>
      <c r="B359" s="49" t="n"/>
      <c r="C359" s="49" t="n"/>
      <c r="D359" s="49" t="n"/>
      <c r="E359" s="49" t="n"/>
      <c r="F359" s="49" t="n"/>
      <c r="G359" s="49" t="n"/>
      <c r="H359" s="27" t="n">
        <v>5</v>
      </c>
      <c r="I359" s="28" t="inlineStr">
        <is>
          <t>Test it on three screens you haven't critiqued before, and refine until the output is genuinely good.</t>
        </is>
      </c>
      <c r="J359" s="29" t="inlineStr">
        <is>
          <t>To do</t>
        </is>
      </c>
      <c r="K359" s="31" t="n"/>
      <c r="L359" s="31" t="n"/>
      <c r="M359" s="30" t="n"/>
      <c r="N359" s="49" t="n"/>
      <c r="O359" s="49" t="n"/>
      <c r="P359" s="49" t="n"/>
      <c r="Q359" s="49" t="n"/>
      <c r="R359" s="49" t="n"/>
      <c r="S359" s="49" t="n"/>
    </row>
    <row r="360" ht="30" customHeight="1" s="71">
      <c r="A360" s="60" t="inlineStr">
        <is>
          <t>7.8</t>
        </is>
      </c>
      <c r="B360" s="51" t="n">
        <v>7</v>
      </c>
      <c r="C360" s="50" t="inlineStr">
        <is>
          <t>Build: Your personal workflow toolkit</t>
        </is>
      </c>
      <c r="D360" s="51" t="inlineStr">
        <is>
          <t>Build</t>
        </is>
      </c>
      <c r="E360" s="51" t="n">
        <v>3</v>
      </c>
      <c r="F360" s="55">
        <f>IF(COUNTIF($J360:$J364,"Done")=5,"Done",IF(COUNTIF($J360:$J364,"Blocked")&gt;0,"Blocked",IF(COUNTIF($J360:$J364,"To do")=5,"Not started","In progress")))</f>
        <v/>
      </c>
      <c r="G360" s="55">
        <f>IF(SUM($M360:$M364)=0,"",SUM($M360:$M364))</f>
        <v/>
      </c>
      <c r="H360" s="17" t="n">
        <v>1</v>
      </c>
      <c r="I360" s="18" t="inlineStr">
        <is>
          <t>List the ten tasks you expect to do most often as a product manager here.</t>
        </is>
      </c>
      <c r="J360" s="19" t="inlineStr">
        <is>
          <t>To do</t>
        </is>
      </c>
      <c r="K360" s="20" t="n"/>
      <c r="L360" s="20" t="n"/>
      <c r="M360" s="21" t="n"/>
      <c r="N360" s="52" t="inlineStr">
        <is>
          <t>Consolidate everything from this module into a set of tools you'll actually use in live projects.</t>
        </is>
      </c>
      <c r="O360" s="52" t="inlineStr">
        <is>
          <t>• Your prompt library from Task 1.9
• Your Skill from Task 7.7</t>
        </is>
      </c>
      <c r="P360" s="52" t="inlineStr">
        <is>
          <t>"By hand" is a legitimate answer for some of those ten. Knowing when not to reach for a tool is as much a skill as knowing how to use one.
---
---</t>
        </is>
      </c>
      <c r="Q360" s="52" t="inlineStr">
        <is>
          <t>1.9, 7.7</t>
        </is>
      </c>
      <c r="R360" s="51" t="n"/>
      <c r="S360" s="52" t="n"/>
    </row>
    <row r="361" ht="30" customHeight="1" s="71">
      <c r="A361" s="48" t="n"/>
      <c r="B361" s="48" t="n"/>
      <c r="C361" s="48" t="n"/>
      <c r="D361" s="48" t="n"/>
      <c r="E361" s="48" t="n"/>
      <c r="F361" s="48" t="n"/>
      <c r="G361" s="48" t="n"/>
      <c r="H361" s="22" t="n">
        <v>2</v>
      </c>
      <c r="I361" s="23" t="inlineStr">
        <is>
          <t>For each, decide the right tool: Chat, Cowork, a Skill, a connector, or by hand.</t>
        </is>
      </c>
      <c r="J361" s="24" t="inlineStr">
        <is>
          <t>To do</t>
        </is>
      </c>
      <c r="K361" s="25" t="n"/>
      <c r="L361" s="25" t="n"/>
      <c r="M361" s="26" t="n"/>
      <c r="N361" s="48" t="n"/>
      <c r="O361" s="48" t="n"/>
      <c r="P361" s="48" t="n"/>
      <c r="Q361" s="48" t="n"/>
      <c r="R361" s="48" t="n"/>
      <c r="S361" s="48" t="n"/>
    </row>
    <row r="362" ht="30" customHeight="1" s="71">
      <c r="A362" s="48" t="n"/>
      <c r="B362" s="48" t="n"/>
      <c r="C362" s="48" t="n"/>
      <c r="D362" s="48" t="n"/>
      <c r="E362" s="48" t="n"/>
      <c r="F362" s="48" t="n"/>
      <c r="G362" s="48" t="n"/>
      <c r="H362" s="22" t="n">
        <v>3</v>
      </c>
      <c r="I362" s="23" t="inlineStr">
        <is>
          <t>Build or refine the asset for the top three — a prompt, a Skill, or a documented Cowork workflow.</t>
        </is>
      </c>
      <c r="J362" s="24" t="inlineStr">
        <is>
          <t>To do</t>
        </is>
      </c>
      <c r="K362" s="25" t="n"/>
      <c r="L362" s="25" t="n"/>
      <c r="M362" s="26" t="n"/>
      <c r="N362" s="48" t="n"/>
      <c r="O362" s="48" t="n"/>
      <c r="P362" s="48" t="n"/>
      <c r="Q362" s="48" t="n"/>
      <c r="R362" s="48" t="n"/>
      <c r="S362" s="48" t="n"/>
    </row>
    <row r="363" ht="30" customHeight="1" s="71">
      <c r="A363" s="48" t="n"/>
      <c r="B363" s="48" t="n"/>
      <c r="C363" s="48" t="n"/>
      <c r="D363" s="48" t="n"/>
      <c r="E363" s="48" t="n"/>
      <c r="F363" s="48" t="n"/>
      <c r="G363" s="48" t="n"/>
      <c r="H363" s="22" t="n">
        <v>4</v>
      </c>
      <c r="I363" s="23" t="inlineStr">
        <is>
          <t>Update your prompt library with everything learned in Modules 4–8.</t>
        </is>
      </c>
      <c r="J363" s="24" t="inlineStr">
        <is>
          <t>To do</t>
        </is>
      </c>
      <c r="K363" s="25" t="n"/>
      <c r="L363" s="25" t="n"/>
      <c r="M363" s="26" t="n"/>
      <c r="N363" s="48" t="n"/>
      <c r="O363" s="48" t="n"/>
      <c r="P363" s="48" t="n"/>
      <c r="Q363" s="48" t="n"/>
      <c r="R363" s="48" t="n"/>
      <c r="S363" s="48" t="n"/>
    </row>
    <row r="364" ht="30" customHeight="1" s="71">
      <c r="A364" s="49" t="n"/>
      <c r="B364" s="49" t="n"/>
      <c r="C364" s="49" t="n"/>
      <c r="D364" s="49" t="n"/>
      <c r="E364" s="49" t="n"/>
      <c r="F364" s="49" t="n"/>
      <c r="G364" s="49" t="n"/>
      <c r="H364" s="27" t="n">
        <v>5</v>
      </c>
      <c r="I364" s="28" t="inlineStr">
        <is>
          <t>Write a one-page *How I Work With Claude* document and share it with your mentor.</t>
        </is>
      </c>
      <c r="J364" s="29" t="inlineStr">
        <is>
          <t>To do</t>
        </is>
      </c>
      <c r="K364" s="31" t="n"/>
      <c r="L364" s="31" t="n"/>
      <c r="M364" s="30" t="n"/>
      <c r="N364" s="49" t="n"/>
      <c r="O364" s="49" t="n"/>
      <c r="P364" s="49" t="n"/>
      <c r="Q364" s="49" t="n"/>
      <c r="R364" s="49" t="n"/>
      <c r="S364" s="49" t="n"/>
    </row>
    <row r="365" ht="25.5" customHeight="1" s="71">
      <c r="A365" s="61" t="inlineStr">
        <is>
          <t xml:space="preserve">  Module 8 · Capstone — Brief to Prototype — 33 hrs · 10 tasks</t>
        </is>
      </c>
      <c r="B365" s="62" t="n"/>
      <c r="C365" s="62" t="n"/>
      <c r="D365" s="62" t="n"/>
      <c r="E365" s="62" t="n"/>
      <c r="F365" s="62" t="n"/>
      <c r="G365" s="62" t="n"/>
      <c r="H365" s="62" t="n"/>
      <c r="I365" s="62" t="n"/>
      <c r="J365" s="62" t="n"/>
      <c r="K365" s="62" t="n"/>
      <c r="L365" s="62" t="n"/>
      <c r="M365" s="62" t="n"/>
      <c r="N365" s="62" t="n"/>
      <c r="O365" s="62" t="n"/>
      <c r="P365" s="62" t="n"/>
      <c r="Q365" s="62" t="n"/>
      <c r="R365" s="62" t="n"/>
      <c r="S365" s="63" t="n"/>
    </row>
    <row r="366" ht="18" customHeight="1" s="71">
      <c r="A366" s="59" t="inlineStr">
        <is>
          <t>Goal</t>
        </is>
      </c>
      <c r="B366" s="58" t="n"/>
      <c r="C366" s="56" t="inlineStr">
        <is>
          <t>I can run a whole engagement from a raw client brief to a tested, presented prototype.</t>
        </is>
      </c>
      <c r="D366" s="57" t="n"/>
      <c r="E366" s="57" t="n"/>
      <c r="F366" s="57" t="n"/>
      <c r="G366" s="57" t="n"/>
      <c r="H366" s="57" t="n"/>
      <c r="I366" s="57" t="n"/>
      <c r="J366" s="57" t="n"/>
      <c r="K366" s="57" t="n"/>
      <c r="L366" s="57" t="n"/>
      <c r="M366" s="57" t="n"/>
      <c r="N366" s="57" t="n"/>
      <c r="O366" s="57" t="n"/>
      <c r="P366" s="57" t="n"/>
      <c r="Q366" s="57" t="n"/>
      <c r="R366" s="57" t="n"/>
      <c r="S366" s="58" t="n"/>
    </row>
    <row r="367" ht="18" customHeight="1" s="71">
      <c r="A367" s="59" t="inlineStr">
        <is>
          <t>About</t>
        </is>
      </c>
      <c r="B367" s="58" t="n"/>
      <c r="C367" s="56" t="inlineStr">
        <is>
          <t>Everything comes together here. You'll take Brief C (ClaimLens) from a vague client request to a tested, clickable prototype with a full paper trail, and present it to a review panel. This mirrors how a real engagement runs here.
Work in your `03-Briefs/ClaimLens` folder and keep every intermediate artefact. The trail matters as much as the final screen.
---</t>
        </is>
      </c>
      <c r="D367" s="57" t="n"/>
      <c r="E367" s="57" t="n"/>
      <c r="F367" s="57" t="n"/>
      <c r="G367" s="57" t="n"/>
      <c r="H367" s="57" t="n"/>
      <c r="I367" s="57" t="n"/>
      <c r="J367" s="57" t="n"/>
      <c r="K367" s="57" t="n"/>
      <c r="L367" s="57" t="n"/>
      <c r="M367" s="57" t="n"/>
      <c r="N367" s="57" t="n"/>
      <c r="O367" s="57" t="n"/>
      <c r="P367" s="57" t="n"/>
      <c r="Q367" s="57" t="n"/>
      <c r="R367" s="57" t="n"/>
      <c r="S367" s="58" t="n"/>
    </row>
    <row r="368" ht="18" customHeight="1" s="71">
      <c r="A368" s="59" t="inlineStr">
        <is>
          <t>Checkpoint</t>
        </is>
      </c>
      <c r="B368" s="58" t="n"/>
      <c r="C368" s="56" t="inlineStr">
        <is>
          <t>The final review. Bring the complete ClaimLens folder: discovery questions and notes, follow-up email, scope brief, PRD, Jira board, sitemap and flows, paper sketches, the interactive prototype, your self-audit, usability findings, the walkthrough deck, and your retrospective.
---</t>
        </is>
      </c>
      <c r="D368" s="57" t="n"/>
      <c r="E368" s="57" t="n"/>
      <c r="F368" s="57" t="n"/>
      <c r="G368" s="57" t="n"/>
      <c r="H368" s="57" t="n"/>
      <c r="I368" s="57" t="n"/>
      <c r="J368" s="57" t="n"/>
      <c r="K368" s="57" t="n"/>
      <c r="L368" s="57" t="n"/>
      <c r="M368" s="57" t="n"/>
      <c r="N368" s="57" t="n"/>
      <c r="O368" s="57" t="n"/>
      <c r="P368" s="57" t="n"/>
      <c r="Q368" s="57" t="n"/>
      <c r="R368" s="57" t="n"/>
      <c r="S368" s="58" t="n"/>
    </row>
    <row r="369" ht="19.5" customHeight="1" s="71">
      <c r="A369" s="65" t="inlineStr">
        <is>
          <t>8.1</t>
        </is>
      </c>
      <c r="B369" s="54" t="n">
        <v>8</v>
      </c>
      <c r="C369" s="64" t="inlineStr">
        <is>
          <t>Practise: Read the brief and find what's missing</t>
        </is>
      </c>
      <c r="D369" s="54" t="inlineStr">
        <is>
          <t>Practise</t>
        </is>
      </c>
      <c r="E369" s="54" t="n">
        <v>3</v>
      </c>
      <c r="F369" s="47">
        <f>IF(COUNTIF($J369:$J373,"Done")=5,"Done",IF(COUNTIF($J369:$J373,"Blocked")&gt;0,"Blocked",IF(COUNTIF($J369:$J373,"To do")=5,"Not started","In progress")))</f>
        <v/>
      </c>
      <c r="G369" s="47">
        <f>IF(SUM($M369:$M373)=0,"",SUM($M369:$M373))</f>
        <v/>
      </c>
      <c r="H369" s="17" t="n">
        <v>1</v>
      </c>
      <c r="I369" s="18" t="inlineStr">
        <is>
          <t>Read Brief C twice.</t>
        </is>
      </c>
      <c r="J369" s="19" t="inlineStr">
        <is>
          <t>To do</t>
        </is>
      </c>
      <c r="K369" s="20" t="n"/>
      <c r="L369" s="20" t="n"/>
      <c r="M369" s="21" t="n"/>
      <c r="N369" s="53" t="inlineStr">
        <is>
          <t>Client briefs are always incomplete. The first professional act is noticing what isn't there.</t>
        </is>
      </c>
      <c r="O369" s="53" t="inlineStr">
        <is>
          <t>• Brief C: ClaimLens — Appendix A
• Your requirements work from Task 5.7</t>
        </is>
      </c>
      <c r="P369" s="53" t="inlineStr">
        <is>
          <t>Doing the background research first, then asking only what the client alone can answer, is what makes a discovery session feel valuable to them. It's a habit clients notice quickly.
---
---</t>
        </is>
      </c>
      <c r="Q369" s="53" t="inlineStr">
        <is>
          <t>5.7</t>
        </is>
      </c>
      <c r="R369" s="54" t="n"/>
      <c r="S369" s="53" t="n"/>
    </row>
    <row r="370" ht="30" customHeight="1" s="71">
      <c r="A370" s="48" t="n"/>
      <c r="B370" s="48" t="n"/>
      <c r="C370" s="48" t="n"/>
      <c r="D370" s="48" t="n"/>
      <c r="E370" s="48" t="n"/>
      <c r="F370" s="48" t="n"/>
      <c r="G370" s="48" t="n"/>
      <c r="H370" s="22" t="n">
        <v>2</v>
      </c>
      <c r="I370" s="23" t="inlineStr">
        <is>
          <t>Write down everything you know for certain, everything you're assuming, and everything you don't know.</t>
        </is>
      </c>
      <c r="J370" s="24" t="inlineStr">
        <is>
          <t>To do</t>
        </is>
      </c>
      <c r="K370" s="25" t="n"/>
      <c r="L370" s="25" t="n"/>
      <c r="M370" s="26" t="n"/>
      <c r="N370" s="48" t="n"/>
      <c r="O370" s="48" t="n"/>
      <c r="P370" s="48" t="n"/>
      <c r="Q370" s="48" t="n"/>
      <c r="R370" s="48" t="n"/>
      <c r="S370" s="48" t="n"/>
    </row>
    <row r="371" ht="42.75" customHeight="1" s="71">
      <c r="A371" s="48" t="n"/>
      <c r="B371" s="48" t="n"/>
      <c r="C371" s="48" t="n"/>
      <c r="D371" s="48" t="n"/>
      <c r="E371" s="48" t="n"/>
      <c r="F371" s="48" t="n"/>
      <c r="G371" s="48" t="n"/>
      <c r="H371" s="22" t="n">
        <v>3</v>
      </c>
      <c r="I371" s="23" t="inlineStr">
        <is>
          <t>Draft twenty discovery questions, grouped into: users and their work, business goals, scope and constraints, technical reality, and success criteria.</t>
        </is>
      </c>
      <c r="J371" s="24" t="inlineStr">
        <is>
          <t>To do</t>
        </is>
      </c>
      <c r="K371" s="25" t="n"/>
      <c r="L371" s="25" t="n"/>
      <c r="M371" s="26" t="n"/>
      <c r="N371" s="48" t="n"/>
      <c r="O371" s="48" t="n"/>
      <c r="P371" s="48" t="n"/>
      <c r="Q371" s="48" t="n"/>
      <c r="R371" s="48" t="n"/>
      <c r="S371" s="48" t="n"/>
    </row>
    <row r="372" ht="19.5" customHeight="1" s="71">
      <c r="A372" s="48" t="n"/>
      <c r="B372" s="48" t="n"/>
      <c r="C372" s="48" t="n"/>
      <c r="D372" s="48" t="n"/>
      <c r="E372" s="48" t="n"/>
      <c r="F372" s="48" t="n"/>
      <c r="G372" s="48" t="n"/>
      <c r="H372" s="22" t="n">
        <v>4</v>
      </c>
      <c r="I372" s="23" t="inlineStr">
        <is>
          <t>Rank them — if you only got to ask five, which five?</t>
        </is>
      </c>
      <c r="J372" s="24" t="inlineStr">
        <is>
          <t>To do</t>
        </is>
      </c>
      <c r="K372" s="25" t="n"/>
      <c r="L372" s="25" t="n"/>
      <c r="M372" s="26" t="n"/>
      <c r="N372" s="48" t="n"/>
      <c r="O372" s="48" t="n"/>
      <c r="P372" s="48" t="n"/>
      <c r="Q372" s="48" t="n"/>
      <c r="R372" s="48" t="n"/>
      <c r="S372" s="48" t="n"/>
    </row>
    <row r="373" ht="55.5" customHeight="1" s="71">
      <c r="A373" s="49" t="n"/>
      <c r="B373" s="49" t="n"/>
      <c r="C373" s="49" t="n"/>
      <c r="D373" s="49" t="n"/>
      <c r="E373" s="49" t="n"/>
      <c r="F373" s="49" t="n"/>
      <c r="G373" s="49" t="n"/>
      <c r="H373" s="27" t="n">
        <v>5</v>
      </c>
      <c r="I373" s="28" t="inlineStr">
        <is>
          <t>Ask Claude: *"Here are twenty discovery questions for an insurance claims triage tool. Which of these could I have answered myself with ten minutes of research? Which are the ones only the client can answer?"*</t>
        </is>
      </c>
      <c r="J373" s="29" t="inlineStr">
        <is>
          <t>To do</t>
        </is>
      </c>
      <c r="K373" s="31" t="n"/>
      <c r="L373" s="31" t="n"/>
      <c r="M373" s="30" t="n"/>
      <c r="N373" s="49" t="n"/>
      <c r="O373" s="49" t="n"/>
      <c r="P373" s="49" t="n"/>
      <c r="Q373" s="49" t="n"/>
      <c r="R373" s="49" t="n"/>
      <c r="S373" s="49" t="n"/>
    </row>
    <row r="374" ht="30" customHeight="1" s="71">
      <c r="A374" s="60" t="inlineStr">
        <is>
          <t>8.2</t>
        </is>
      </c>
      <c r="B374" s="51" t="n">
        <v>8</v>
      </c>
      <c r="C374" s="50" t="inlineStr">
        <is>
          <t>Practise: Run the discovery conversation</t>
        </is>
      </c>
      <c r="D374" s="51" t="inlineStr">
        <is>
          <t>Practise</t>
        </is>
      </c>
      <c r="E374" s="51" t="n">
        <v>3</v>
      </c>
      <c r="F374" s="55">
        <f>IF(COUNTIF($J374:$J378,"Done")=5,"Done",IF(COUNTIF($J374:$J378,"Blocked")&gt;0,"Blocked",IF(COUNTIF($J374:$J378,"To do")=5,"Not started","In progress")))</f>
        <v/>
      </c>
      <c r="G374" s="55">
        <f>IF(SUM($M374:$M378)=0,"",SUM($M374:$M378))</f>
        <v/>
      </c>
      <c r="H374" s="17" t="n">
        <v>1</v>
      </c>
      <c r="I374" s="18" t="inlineStr">
        <is>
          <t>Book thirty minutes with your mentor and send the agenda in advance.</t>
        </is>
      </c>
      <c r="J374" s="19" t="inlineStr">
        <is>
          <t>To do</t>
        </is>
      </c>
      <c r="K374" s="20" t="n"/>
      <c r="L374" s="20" t="n"/>
      <c r="M374" s="21" t="n"/>
      <c r="N374" s="52" t="inlineStr">
        <is>
          <t>Your mentor plays the client. You have thirty minutes and your five best questions.</t>
        </is>
      </c>
      <c r="O374" s="52" t="inlineStr">
        <is>
          <t>• Your questions from Task 8.1
• Your interview technique from Task 2.2</t>
        </is>
      </c>
      <c r="P374" s="52" t="inlineStr">
        <is>
          <t>The follow-up email is the deliverable most juniors skip. It's how misunderstandings get caught while they're still cheap.
---
---</t>
        </is>
      </c>
      <c r="Q374" s="52" t="inlineStr">
        <is>
          <t>2.2, 8.1</t>
        </is>
      </c>
      <c r="R374" s="51" t="n"/>
      <c r="S374" s="52" t="n"/>
    </row>
    <row r="375" ht="30" customHeight="1" s="71">
      <c r="A375" s="48" t="n"/>
      <c r="B375" s="48" t="n"/>
      <c r="C375" s="48" t="n"/>
      <c r="D375" s="48" t="n"/>
      <c r="E375" s="48" t="n"/>
      <c r="F375" s="48" t="n"/>
      <c r="G375" s="48" t="n"/>
      <c r="H375" s="22" t="n">
        <v>2</v>
      </c>
      <c r="I375" s="23" t="inlineStr">
        <is>
          <t>Run the session. Record it if permitted, or take notes and write them up within the hour.</t>
        </is>
      </c>
      <c r="J375" s="24" t="inlineStr">
        <is>
          <t>To do</t>
        </is>
      </c>
      <c r="K375" s="25" t="n"/>
      <c r="L375" s="25" t="n"/>
      <c r="M375" s="26" t="n"/>
      <c r="N375" s="48" t="n"/>
      <c r="O375" s="48" t="n"/>
      <c r="P375" s="48" t="n"/>
      <c r="Q375" s="48" t="n"/>
      <c r="R375" s="48" t="n"/>
      <c r="S375" s="48" t="n"/>
    </row>
    <row r="376" ht="30" customHeight="1" s="71">
      <c r="A376" s="48" t="n"/>
      <c r="B376" s="48" t="n"/>
      <c r="C376" s="48" t="n"/>
      <c r="D376" s="48" t="n"/>
      <c r="E376" s="48" t="n"/>
      <c r="F376" s="48" t="n"/>
      <c r="G376" s="48" t="n"/>
      <c r="H376" s="22" t="n">
        <v>3</v>
      </c>
      <c r="I376" s="23" t="inlineStr">
        <is>
          <t>Synthesise: what did you learn that contradicted the brief, and what new constraints appeared?</t>
        </is>
      </c>
      <c r="J376" s="24" t="inlineStr">
        <is>
          <t>To do</t>
        </is>
      </c>
      <c r="K376" s="25" t="n"/>
      <c r="L376" s="25" t="n"/>
      <c r="M376" s="26" t="n"/>
      <c r="N376" s="48" t="n"/>
      <c r="O376" s="48" t="n"/>
      <c r="P376" s="48" t="n"/>
      <c r="Q376" s="48" t="n"/>
      <c r="R376" s="48" t="n"/>
      <c r="S376" s="48" t="n"/>
    </row>
    <row r="377" ht="30" customHeight="1" s="71">
      <c r="A377" s="48" t="n"/>
      <c r="B377" s="48" t="n"/>
      <c r="C377" s="48" t="n"/>
      <c r="D377" s="48" t="n"/>
      <c r="E377" s="48" t="n"/>
      <c r="F377" s="48" t="n"/>
      <c r="G377" s="48" t="n"/>
      <c r="H377" s="22" t="n">
        <v>4</v>
      </c>
      <c r="I377" s="23" t="inlineStr">
        <is>
          <t>Write a follow-up email confirming what you heard, listing decisions made and open items with owners.</t>
        </is>
      </c>
      <c r="J377" s="24" t="inlineStr">
        <is>
          <t>To do</t>
        </is>
      </c>
      <c r="K377" s="25" t="n"/>
      <c r="L377" s="25" t="n"/>
      <c r="M377" s="26" t="n"/>
      <c r="N377" s="48" t="n"/>
      <c r="O377" s="48" t="n"/>
      <c r="P377" s="48" t="n"/>
      <c r="Q377" s="48" t="n"/>
      <c r="R377" s="48" t="n"/>
      <c r="S377" s="48" t="n"/>
    </row>
    <row r="378" ht="42.75" customHeight="1" s="71">
      <c r="A378" s="49" t="n"/>
      <c r="B378" s="49" t="n"/>
      <c r="C378" s="49" t="n"/>
      <c r="D378" s="49" t="n"/>
      <c r="E378" s="49" t="n"/>
      <c r="F378" s="49" t="n"/>
      <c r="G378" s="49" t="n"/>
      <c r="H378" s="27" t="n">
        <v>5</v>
      </c>
      <c r="I378" s="28" t="inlineStr">
        <is>
          <t>Ask Claude to review the email: *"Is this summary specific enough that the client could correct a misunderstanding, or is it so vague they'd just say 'looks good'?"*</t>
        </is>
      </c>
      <c r="J378" s="29" t="inlineStr">
        <is>
          <t>To do</t>
        </is>
      </c>
      <c r="K378" s="31" t="n"/>
      <c r="L378" s="31" t="n"/>
      <c r="M378" s="30" t="n"/>
      <c r="N378" s="49" t="n"/>
      <c r="O378" s="49" t="n"/>
      <c r="P378" s="49" t="n"/>
      <c r="Q378" s="49" t="n"/>
      <c r="R378" s="49" t="n"/>
      <c r="S378" s="49" t="n"/>
    </row>
    <row r="379" ht="42.75" customHeight="1" s="71">
      <c r="A379" s="65" t="inlineStr">
        <is>
          <t>8.3</t>
        </is>
      </c>
      <c r="B379" s="54" t="n">
        <v>8</v>
      </c>
      <c r="C379" s="64" t="inlineStr">
        <is>
          <t>Build: Scope and a one-page product brief</t>
        </is>
      </c>
      <c r="D379" s="54" t="inlineStr">
        <is>
          <t>Build</t>
        </is>
      </c>
      <c r="E379" s="54" t="n">
        <v>3</v>
      </c>
      <c r="F379" s="47">
        <f>IF(COUNTIF($J379:$J383,"Done")=5,"Done",IF(COUNTIF($J379:$J383,"Blocked")&gt;0,"Blocked",IF(COUNTIF($J379:$J383,"To do")=5,"Not started","In progress")))</f>
        <v/>
      </c>
      <c r="G379" s="47">
        <f>IF(SUM($M379:$M383)=0,"",SUM($M379:$M383))</f>
        <v/>
      </c>
      <c r="H379" s="17" t="n">
        <v>1</v>
      </c>
      <c r="I379" s="18" t="inlineStr">
        <is>
          <t>Write a one-page brief: the problem, who has it, what we're building, what we're explicitly not building, success criteria, key risks, and assumptions.</t>
        </is>
      </c>
      <c r="J379" s="19" t="inlineStr">
        <is>
          <t>To do</t>
        </is>
      </c>
      <c r="K379" s="20" t="n"/>
      <c r="L379" s="20" t="n"/>
      <c r="M379" s="21" t="n"/>
      <c r="N379" s="53" t="inlineStr">
        <is>
          <t>Turn everything you've heard into one page a client would sign and a team could start from.</t>
        </is>
      </c>
      <c r="O379" s="53" t="inlineStr">
        <is>
          <t>• Your roadmap and scope work from Task 5.10
• Your discovery notes</t>
        </is>
      </c>
      <c r="P379" s="53" t="inlineStr">
        <is>
          <t>The "not building" section prevents more arguments than any other part of the document. Be specific and be generous with it.
---
---</t>
        </is>
      </c>
      <c r="Q379" s="53" t="inlineStr">
        <is>
          <t>5.10</t>
        </is>
      </c>
      <c r="R379" s="54" t="n"/>
      <c r="S379" s="53" t="n"/>
    </row>
    <row r="380" ht="30" customHeight="1" s="71">
      <c r="A380" s="48" t="n"/>
      <c r="B380" s="48" t="n"/>
      <c r="C380" s="48" t="n"/>
      <c r="D380" s="48" t="n"/>
      <c r="E380" s="48" t="n"/>
      <c r="F380" s="48" t="n"/>
      <c r="G380" s="48" t="n"/>
      <c r="H380" s="22" t="n">
        <v>2</v>
      </c>
      <c r="I380" s="23" t="inlineStr">
        <is>
          <t>Draw a hard line on v1 scope. Cut something that genuinely hurts to cut.</t>
        </is>
      </c>
      <c r="J380" s="24" t="inlineStr">
        <is>
          <t>To do</t>
        </is>
      </c>
      <c r="K380" s="25" t="n"/>
      <c r="L380" s="25" t="n"/>
      <c r="M380" s="26" t="n"/>
      <c r="N380" s="48" t="n"/>
      <c r="O380" s="48" t="n"/>
      <c r="P380" s="48" t="n"/>
      <c r="Q380" s="48" t="n"/>
      <c r="R380" s="48" t="n"/>
      <c r="S380" s="48" t="n"/>
    </row>
    <row r="381" ht="30" customHeight="1" s="71">
      <c r="A381" s="48" t="n"/>
      <c r="B381" s="48" t="n"/>
      <c r="C381" s="48" t="n"/>
      <c r="D381" s="48" t="n"/>
      <c r="E381" s="48" t="n"/>
      <c r="F381" s="48" t="n"/>
      <c r="G381" s="48" t="n"/>
      <c r="H381" s="22" t="n">
        <v>3</v>
      </c>
      <c r="I381" s="23" t="inlineStr">
        <is>
          <t>List every assumption you're making and mark which ones would most change the plan if they turned out differently.</t>
        </is>
      </c>
      <c r="J381" s="24" t="inlineStr">
        <is>
          <t>To do</t>
        </is>
      </c>
      <c r="K381" s="25" t="n"/>
      <c r="L381" s="25" t="n"/>
      <c r="M381" s="26" t="n"/>
      <c r="N381" s="48" t="n"/>
      <c r="O381" s="48" t="n"/>
      <c r="P381" s="48" t="n"/>
      <c r="Q381" s="48" t="n"/>
      <c r="R381" s="48" t="n"/>
      <c r="S381" s="48" t="n"/>
    </row>
    <row r="382" ht="55.5" customHeight="1" s="71">
      <c r="A382" s="48" t="n"/>
      <c r="B382" s="48" t="n"/>
      <c r="C382" s="48" t="n"/>
      <c r="D382" s="48" t="n"/>
      <c r="E382" s="48" t="n"/>
      <c r="F382" s="48" t="n"/>
      <c r="G382" s="48" t="n"/>
      <c r="H382" s="22" t="n">
        <v>4</v>
      </c>
      <c r="I382" s="23" t="inlineStr">
        <is>
          <t>Ask Claude: *"You're the client who wrote the original brief. Read this scope document — where would you push back, and what would you feel had been left out without discussion?"*</t>
        </is>
      </c>
      <c r="J382" s="24" t="inlineStr">
        <is>
          <t>To do</t>
        </is>
      </c>
      <c r="K382" s="25" t="n"/>
      <c r="L382" s="25" t="n"/>
      <c r="M382" s="26" t="n"/>
      <c r="N382" s="48" t="n"/>
      <c r="O382" s="48" t="n"/>
      <c r="P382" s="48" t="n"/>
      <c r="Q382" s="48" t="n"/>
      <c r="R382" s="48" t="n"/>
      <c r="S382" s="48" t="n"/>
    </row>
    <row r="383" ht="30" customHeight="1" s="71">
      <c r="A383" s="49" t="n"/>
      <c r="B383" s="49" t="n"/>
      <c r="C383" s="49" t="n"/>
      <c r="D383" s="49" t="n"/>
      <c r="E383" s="49" t="n"/>
      <c r="F383" s="49" t="n"/>
      <c r="G383" s="49" t="n"/>
      <c r="H383" s="27" t="n">
        <v>5</v>
      </c>
      <c r="I383" s="28" t="inlineStr">
        <is>
          <t>Revise and share with your mentor for sign-off before continuing.</t>
        </is>
      </c>
      <c r="J383" s="29" t="inlineStr">
        <is>
          <t>To do</t>
        </is>
      </c>
      <c r="K383" s="31" t="n"/>
      <c r="L383" s="31" t="n"/>
      <c r="M383" s="30" t="n"/>
      <c r="N383" s="49" t="n"/>
      <c r="O383" s="49" t="n"/>
      <c r="P383" s="49" t="n"/>
      <c r="Q383" s="49" t="n"/>
      <c r="R383" s="49" t="n"/>
      <c r="S383" s="49" t="n"/>
    </row>
    <row r="384" ht="30" customHeight="1" s="71">
      <c r="A384" s="60" t="inlineStr">
        <is>
          <t>8.4</t>
        </is>
      </c>
      <c r="B384" s="51" t="n">
        <v>8</v>
      </c>
      <c r="C384" s="50" t="inlineStr">
        <is>
          <t>Build: PRD and user stories in Jira</t>
        </is>
      </c>
      <c r="D384" s="51" t="inlineStr">
        <is>
          <t>Build</t>
        </is>
      </c>
      <c r="E384" s="51" t="n">
        <v>4</v>
      </c>
      <c r="F384" s="55">
        <f>IF(COUNTIF($J384:$J388,"Done")=5,"Done",IF(COUNTIF($J384:$J388,"Blocked")&gt;0,"Blocked",IF(COUNTIF($J384:$J388,"To do")=5,"Not started","In progress")))</f>
        <v/>
      </c>
      <c r="G384" s="55">
        <f>IF(SUM($M384:$M388)=0,"",SUM($M384:$M388))</f>
        <v/>
      </c>
      <c r="H384" s="17" t="n">
        <v>1</v>
      </c>
      <c r="I384" s="18" t="inlineStr">
        <is>
          <t>Write the full ClaimLens PRD — problem, users, goals, metrics, scope, flows, risks, open questions.</t>
        </is>
      </c>
      <c r="J384" s="19" t="inlineStr">
        <is>
          <t>To do</t>
        </is>
      </c>
      <c r="K384" s="20" t="n"/>
      <c r="L384" s="20" t="n"/>
      <c r="M384" s="21" t="n"/>
      <c r="N384" s="52" t="inlineStr">
        <is>
          <t>Convert the brief into something a delivery team can work from.</t>
        </is>
      </c>
      <c r="O384" s="52" t="inlineStr">
        <is>
          <t>• Your PRD structure from Task 6.7
• Your story writing from Task 5.8
• Your Jira sandbox from Task 5.4</t>
        </is>
      </c>
      <c r="P384" s="52" t="inlineStr">
        <is>
          <t>The AI feature's behaviour when it gets something wrong is easy to leave until last, and much better handled early. What does the interface do when the triage suggestion misses? Design that now.
---
---</t>
        </is>
      </c>
      <c r="Q384" s="52" t="inlineStr">
        <is>
          <t>5.4, 5.8, 6.7</t>
        </is>
      </c>
      <c r="R384" s="51" t="n"/>
      <c r="S384" s="52" t="n"/>
    </row>
    <row r="385" ht="30" customHeight="1" s="71">
      <c r="A385" s="48" t="n"/>
      <c r="B385" s="48" t="n"/>
      <c r="C385" s="48" t="n"/>
      <c r="D385" s="48" t="n"/>
      <c r="E385" s="48" t="n"/>
      <c r="F385" s="48" t="n"/>
      <c r="G385" s="48" t="n"/>
      <c r="H385" s="22" t="n">
        <v>2</v>
      </c>
      <c r="I385" s="23" t="inlineStr">
        <is>
          <t>Break it into one epic and at least twelve user stories with acceptance criteria.</t>
        </is>
      </c>
      <c r="J385" s="24" t="inlineStr">
        <is>
          <t>To do</t>
        </is>
      </c>
      <c r="K385" s="25" t="n"/>
      <c r="L385" s="25" t="n"/>
      <c r="M385" s="26" t="n"/>
      <c r="N385" s="48" t="n"/>
      <c r="O385" s="48" t="n"/>
      <c r="P385" s="48" t="n"/>
      <c r="Q385" s="48" t="n"/>
      <c r="R385" s="48" t="n"/>
      <c r="S385" s="48" t="n"/>
    </row>
    <row r="386" ht="30" customHeight="1" s="71">
      <c r="A386" s="48" t="n"/>
      <c r="B386" s="48" t="n"/>
      <c r="C386" s="48" t="n"/>
      <c r="D386" s="48" t="n"/>
      <c r="E386" s="48" t="n"/>
      <c r="F386" s="48" t="n"/>
      <c r="G386" s="48" t="n"/>
      <c r="H386" s="22" t="n">
        <v>3</v>
      </c>
      <c r="I386" s="23" t="inlineStr">
        <is>
          <t>Load everything into Jira with proper hierarchy, estimates and priorities.</t>
        </is>
      </c>
      <c r="J386" s="24" t="inlineStr">
        <is>
          <t>To do</t>
        </is>
      </c>
      <c r="K386" s="25" t="n"/>
      <c r="L386" s="25" t="n"/>
      <c r="M386" s="26" t="n"/>
      <c r="N386" s="48" t="n"/>
      <c r="O386" s="48" t="n"/>
      <c r="P386" s="48" t="n"/>
      <c r="Q386" s="48" t="n"/>
      <c r="R386" s="48" t="n"/>
      <c r="S386" s="48" t="n"/>
    </row>
    <row r="387" ht="42.75" customHeight="1" s="71">
      <c r="A387" s="48" t="n"/>
      <c r="B387" s="48" t="n"/>
      <c r="C387" s="48" t="n"/>
      <c r="D387" s="48" t="n"/>
      <c r="E387" s="48" t="n"/>
      <c r="F387" s="48" t="n"/>
      <c r="G387" s="48" t="n"/>
      <c r="H387" s="22" t="n">
        <v>4</v>
      </c>
      <c r="I387" s="23" t="inlineStr">
        <is>
          <t>Include the unglamorous stories: permissions, audit trail, error handling, empty states, and the AI feature's failure behaviour.</t>
        </is>
      </c>
      <c r="J387" s="24" t="inlineStr">
        <is>
          <t>To do</t>
        </is>
      </c>
      <c r="K387" s="25" t="n"/>
      <c r="L387" s="25" t="n"/>
      <c r="M387" s="26" t="n"/>
      <c r="N387" s="48" t="n"/>
      <c r="O387" s="48" t="n"/>
      <c r="P387" s="48" t="n"/>
      <c r="Q387" s="48" t="n"/>
      <c r="R387" s="48" t="n"/>
      <c r="S387" s="48" t="n"/>
    </row>
    <row r="388" ht="42.75" customHeight="1" s="71">
      <c r="A388" s="49" t="n"/>
      <c r="B388" s="49" t="n"/>
      <c r="C388" s="49" t="n"/>
      <c r="D388" s="49" t="n"/>
      <c r="E388" s="49" t="n"/>
      <c r="F388" s="49" t="n"/>
      <c r="G388" s="49" t="n"/>
      <c r="H388" s="27" t="n">
        <v>5</v>
      </c>
      <c r="I388" s="28" t="inlineStr">
        <is>
          <t>Ask Claude: *"Read these twelve stories as an engineering lead. What's missing that will surface halfway through the sprint?"*</t>
        </is>
      </c>
      <c r="J388" s="29" t="inlineStr">
        <is>
          <t>To do</t>
        </is>
      </c>
      <c r="K388" s="31" t="n"/>
      <c r="L388" s="31" t="n"/>
      <c r="M388" s="30" t="n"/>
      <c r="N388" s="49" t="n"/>
      <c r="O388" s="49" t="n"/>
      <c r="P388" s="49" t="n"/>
      <c r="Q388" s="49" t="n"/>
      <c r="R388" s="49" t="n"/>
      <c r="S388" s="49" t="n"/>
    </row>
    <row r="389" ht="19.5" customHeight="1" s="71">
      <c r="A389" s="65" t="inlineStr">
        <is>
          <t>8.5</t>
        </is>
      </c>
      <c r="B389" s="54" t="n">
        <v>8</v>
      </c>
      <c r="C389" s="64" t="inlineStr">
        <is>
          <t>Build: Information architecture, flows and wireframes</t>
        </is>
      </c>
      <c r="D389" s="54" t="inlineStr">
        <is>
          <t>Build</t>
        </is>
      </c>
      <c r="E389" s="54" t="n">
        <v>4</v>
      </c>
      <c r="F389" s="47">
        <f>IF(COUNTIF($J389:$J393,"Done")=5,"Done",IF(COUNTIF($J389:$J393,"Blocked")&gt;0,"Blocked",IF(COUNTIF($J389:$J393,"To do")=5,"Not started","In progress")))</f>
        <v/>
      </c>
      <c r="G389" s="47">
        <f>IF(SUM($M389:$M393)=0,"",SUM($M389:$M393))</f>
        <v/>
      </c>
      <c r="H389" s="17" t="n">
        <v>1</v>
      </c>
      <c r="I389" s="18" t="inlineStr">
        <is>
          <t>Build the ClaimLens sitemap from your story list.</t>
        </is>
      </c>
      <c r="J389" s="19" t="inlineStr">
        <is>
          <t>To do</t>
        </is>
      </c>
      <c r="K389" s="20" t="n"/>
      <c r="L389" s="20" t="n"/>
      <c r="M389" s="21" t="n"/>
      <c r="N389" s="53" t="inlineStr">
        <is>
          <t>Structure before surface. Sitemap, flows, then low-fidelity screens.</t>
        </is>
      </c>
      <c r="O389" s="53" t="inlineStr">
        <is>
          <t>• Your IA work from Task 4.3
• Your sketching practice from Task 4.2</t>
        </is>
      </c>
      <c r="P389" s="53" t="inlineStr">
        <is>
          <t>Step 5 is the real test. If you have to talk over a wireframe to make it make sense, the wireframe isn't finished.
---
---</t>
        </is>
      </c>
      <c r="Q389" s="53" t="inlineStr">
        <is>
          <t>4.2, 4.3</t>
        </is>
      </c>
      <c r="R389" s="54" t="n"/>
      <c r="S389" s="53" t="n"/>
    </row>
    <row r="390" ht="30" customHeight="1" s="71">
      <c r="A390" s="48" t="n"/>
      <c r="B390" s="48" t="n"/>
      <c r="C390" s="48" t="n"/>
      <c r="D390" s="48" t="n"/>
      <c r="E390" s="48" t="n"/>
      <c r="F390" s="48" t="n"/>
      <c r="G390" s="48" t="n"/>
      <c r="H390" s="22" t="n">
        <v>2</v>
      </c>
      <c r="I390" s="23" t="inlineStr">
        <is>
          <t>Draw the user flow for the primary task — an adjuster triaging a new claim — including every error and edge path.</t>
        </is>
      </c>
      <c r="J390" s="24" t="inlineStr">
        <is>
          <t>To do</t>
        </is>
      </c>
      <c r="K390" s="25" t="n"/>
      <c r="L390" s="25" t="n"/>
      <c r="M390" s="26" t="n"/>
      <c r="N390" s="48" t="n"/>
      <c r="O390" s="48" t="n"/>
      <c r="P390" s="48" t="n"/>
      <c r="Q390" s="48" t="n"/>
      <c r="R390" s="48" t="n"/>
      <c r="S390" s="48" t="n"/>
    </row>
    <row r="391" ht="30" customHeight="1" s="71">
      <c r="A391" s="48" t="n"/>
      <c r="B391" s="48" t="n"/>
      <c r="C391" s="48" t="n"/>
      <c r="D391" s="48" t="n"/>
      <c r="E391" s="48" t="n"/>
      <c r="F391" s="48" t="n"/>
      <c r="G391" s="48" t="n"/>
      <c r="H391" s="22" t="n">
        <v>3</v>
      </c>
      <c r="I391" s="23" t="inlineStr">
        <is>
          <t>Sketch every screen in that flow on paper. All of them, including the simple ones.</t>
        </is>
      </c>
      <c r="J391" s="24" t="inlineStr">
        <is>
          <t>To do</t>
        </is>
      </c>
      <c r="K391" s="25" t="n"/>
      <c r="L391" s="25" t="n"/>
      <c r="M391" s="26" t="n"/>
      <c r="N391" s="48" t="n"/>
      <c r="O391" s="48" t="n"/>
      <c r="P391" s="48" t="n"/>
      <c r="Q391" s="48" t="n"/>
      <c r="R391" s="48" t="n"/>
      <c r="S391" s="48" t="n"/>
    </row>
    <row r="392" ht="30" customHeight="1" s="71">
      <c r="A392" s="48" t="n"/>
      <c r="B392" s="48" t="n"/>
      <c r="C392" s="48" t="n"/>
      <c r="D392" s="48" t="n"/>
      <c r="E392" s="48" t="n"/>
      <c r="F392" s="48" t="n"/>
      <c r="G392" s="48" t="n"/>
      <c r="H392" s="22" t="n">
        <v>4</v>
      </c>
      <c r="I392" s="23" t="inlineStr">
        <is>
          <t>Annotate each sketch with content priority and key interactions.</t>
        </is>
      </c>
      <c r="J392" s="24" t="inlineStr">
        <is>
          <t>To do</t>
        </is>
      </c>
      <c r="K392" s="25" t="n"/>
      <c r="L392" s="25" t="n"/>
      <c r="M392" s="26" t="n"/>
      <c r="N392" s="48" t="n"/>
      <c r="O392" s="48" t="n"/>
      <c r="P392" s="48" t="n"/>
      <c r="Q392" s="48" t="n"/>
      <c r="R392" s="48" t="n"/>
      <c r="S392" s="48" t="n"/>
    </row>
    <row r="393" ht="42.75" customHeight="1" s="71">
      <c r="A393" s="49" t="n"/>
      <c r="B393" s="49" t="n"/>
      <c r="C393" s="49" t="n"/>
      <c r="D393" s="49" t="n"/>
      <c r="E393" s="49" t="n"/>
      <c r="F393" s="49" t="n"/>
      <c r="G393" s="49" t="n"/>
      <c r="H393" s="27" t="n">
        <v>5</v>
      </c>
      <c r="I393" s="28" t="inlineStr">
        <is>
          <t>Walk your mentor through the flow using only the sketches. Note every point where you had to explain something the sketch should have made obvious.</t>
        </is>
      </c>
      <c r="J393" s="29" t="inlineStr">
        <is>
          <t>To do</t>
        </is>
      </c>
      <c r="K393" s="31" t="n"/>
      <c r="L393" s="31" t="n"/>
      <c r="M393" s="30" t="n"/>
      <c r="N393" s="49" t="n"/>
      <c r="O393" s="49" t="n"/>
      <c r="P393" s="49" t="n"/>
      <c r="Q393" s="49" t="n"/>
      <c r="R393" s="49" t="n"/>
      <c r="S393" s="49" t="n"/>
    </row>
    <row r="394" ht="30" customHeight="1" s="71">
      <c r="A394" s="60" t="inlineStr">
        <is>
          <t>8.6</t>
        </is>
      </c>
      <c r="B394" s="51" t="n">
        <v>8</v>
      </c>
      <c r="C394" s="50" t="inlineStr">
        <is>
          <t>Build: The interactive prototype</t>
        </is>
      </c>
      <c r="D394" s="51" t="inlineStr">
        <is>
          <t>Build</t>
        </is>
      </c>
      <c r="E394" s="51" t="n">
        <v>5</v>
      </c>
      <c r="F394" s="55">
        <f>IF(COUNTIF($J394:$J398,"Done")=5,"Done",IF(COUNTIF($J394:$J398,"Blocked")&gt;0,"Blocked",IF(COUNTIF($J394:$J398,"To do")=5,"Not started","In progress")))</f>
        <v/>
      </c>
      <c r="G394" s="55">
        <f>IF(SUM($M394:$M398)=0,"",SUM($M394:$M398))</f>
        <v/>
      </c>
      <c r="H394" s="17" t="n">
        <v>1</v>
      </c>
      <c r="I394" s="18" t="inlineStr">
        <is>
          <t>Build every screen from your flow, keeping structure and component patterns consistent across all of them.</t>
        </is>
      </c>
      <c r="J394" s="19" t="inlineStr">
        <is>
          <t>To do</t>
        </is>
      </c>
      <c r="K394" s="20" t="n"/>
      <c r="L394" s="20" t="n"/>
      <c r="M394" s="21" t="n"/>
      <c r="N394" s="52" t="inlineStr">
        <is>
          <t>The largest single task in Phase 1. Build ClaimLens in Claude Design — clickable end to end, with every state designed. Rough edges are fine; gaps in the thinking are not.</t>
        </is>
      </c>
      <c r="O394" s="52" t="inlineStr">
        <is>
          <t>• Claude Design — https://claude.ai/design
• Your specification work from Task 4.10
• Your entire Module 3, 4 and 5 output</t>
        </is>
      </c>
      <c r="P394" s="52" t="inlineStr">
        <is>
          <t>Split this across two or three days. This kind of work benefits enormously from fresh eyes, and you'll spot things on day two that simply wouldn't have surfaced in one long sitting.
---
---</t>
        </is>
      </c>
      <c r="Q394" s="52" t="inlineStr">
        <is>
          <t>4.7, 4.10</t>
        </is>
      </c>
      <c r="R394" s="51" t="n"/>
      <c r="S394" s="52" t="n"/>
    </row>
    <row r="395" ht="30" customHeight="1" s="71">
      <c r="A395" s="48" t="n"/>
      <c r="B395" s="48" t="n"/>
      <c r="C395" s="48" t="n"/>
      <c r="D395" s="48" t="n"/>
      <c r="E395" s="48" t="n"/>
      <c r="F395" s="48" t="n"/>
      <c r="G395" s="48" t="n"/>
      <c r="H395" s="22" t="n">
        <v>2</v>
      </c>
      <c r="I395" s="23" t="inlineStr">
        <is>
          <t>Make it genuinely interactive — the primary flow should be clickable end to end.</t>
        </is>
      </c>
      <c r="J395" s="24" t="inlineStr">
        <is>
          <t>To do</t>
        </is>
      </c>
      <c r="K395" s="25" t="n"/>
      <c r="L395" s="25" t="n"/>
      <c r="M395" s="26" t="n"/>
      <c r="N395" s="48" t="n"/>
      <c r="O395" s="48" t="n"/>
      <c r="P395" s="48" t="n"/>
      <c r="Q395" s="48" t="n"/>
      <c r="R395" s="48" t="n"/>
      <c r="S395" s="48" t="n"/>
    </row>
    <row r="396" ht="42.75" customHeight="1" s="71">
      <c r="A396" s="48" t="n"/>
      <c r="B396" s="48" t="n"/>
      <c r="C396" s="48" t="n"/>
      <c r="D396" s="48" t="n"/>
      <c r="E396" s="48" t="n"/>
      <c r="F396" s="48" t="n"/>
      <c r="G396" s="48" t="n"/>
      <c r="H396" s="22" t="n">
        <v>3</v>
      </c>
      <c r="I396" s="23" t="inlineStr">
        <is>
          <t>Design every state you identified in Task 4.7: loading, empty, error, no results, permission denied, and the AI's low-confidence state.</t>
        </is>
      </c>
      <c r="J396" s="24" t="inlineStr">
        <is>
          <t>To do</t>
        </is>
      </c>
      <c r="K396" s="25" t="n"/>
      <c r="L396" s="25" t="n"/>
      <c r="M396" s="26" t="n"/>
      <c r="N396" s="48" t="n"/>
      <c r="O396" s="48" t="n"/>
      <c r="P396" s="48" t="n"/>
      <c r="Q396" s="48" t="n"/>
      <c r="R396" s="48" t="n"/>
      <c r="S396" s="48" t="n"/>
    </row>
    <row r="397" ht="30" customHeight="1" s="71">
      <c r="A397" s="48" t="n"/>
      <c r="B397" s="48" t="n"/>
      <c r="C397" s="48" t="n"/>
      <c r="D397" s="48" t="n"/>
      <c r="E397" s="48" t="n"/>
      <c r="F397" s="48" t="n"/>
      <c r="G397" s="48" t="n"/>
      <c r="H397" s="22" t="n">
        <v>4</v>
      </c>
      <c r="I397" s="23" t="inlineStr">
        <is>
          <t>Write real copy everywhere. No lorem ipsum, no placeholder labels.</t>
        </is>
      </c>
      <c r="J397" s="24" t="inlineStr">
        <is>
          <t>To do</t>
        </is>
      </c>
      <c r="K397" s="25" t="n"/>
      <c r="L397" s="25" t="n"/>
      <c r="M397" s="26" t="n"/>
      <c r="N397" s="48" t="n"/>
      <c r="O397" s="48" t="n"/>
      <c r="P397" s="48" t="n"/>
      <c r="Q397" s="48" t="n"/>
      <c r="R397" s="48" t="n"/>
      <c r="S397" s="48" t="n"/>
    </row>
    <row r="398" ht="42.75" customHeight="1" s="71">
      <c r="A398" s="49" t="n"/>
      <c r="B398" s="49" t="n"/>
      <c r="C398" s="49" t="n"/>
      <c r="D398" s="49" t="n"/>
      <c r="E398" s="49" t="n"/>
      <c r="F398" s="49" t="n"/>
      <c r="G398" s="49" t="n"/>
      <c r="H398" s="27" t="n">
        <v>5</v>
      </c>
      <c r="I398" s="28" t="inlineStr">
        <is>
          <t>Keep an iteration log: every significant round, what you asked for, and what you learned about prompting Claude Design.</t>
        </is>
      </c>
      <c r="J398" s="29" t="inlineStr">
        <is>
          <t>To do</t>
        </is>
      </c>
      <c r="K398" s="31" t="n"/>
      <c r="L398" s="31" t="n"/>
      <c r="M398" s="30" t="n"/>
      <c r="N398" s="49" t="n"/>
      <c r="O398" s="49" t="n"/>
      <c r="P398" s="49" t="n"/>
      <c r="Q398" s="49" t="n"/>
      <c r="R398" s="49" t="n"/>
      <c r="S398" s="49" t="n"/>
    </row>
    <row r="399" ht="30" customHeight="1" s="71">
      <c r="A399" s="65" t="inlineStr">
        <is>
          <t>8.7</t>
        </is>
      </c>
      <c r="B399" s="54" t="n">
        <v>8</v>
      </c>
      <c r="C399" s="64" t="inlineStr">
        <is>
          <t>Practise: Audit your own work</t>
        </is>
      </c>
      <c r="D399" s="54" t="inlineStr">
        <is>
          <t>Practise</t>
        </is>
      </c>
      <c r="E399" s="54" t="n">
        <v>3</v>
      </c>
      <c r="F399" s="47">
        <f>IF(COUNTIF($J399:$J403,"Done")=5,"Done",IF(COUNTIF($J399:$J403,"Blocked")&gt;0,"Blocked",IF(COUNTIF($J399:$J403,"To do")=5,"Not started","In progress")))</f>
        <v/>
      </c>
      <c r="G399" s="47">
        <f>IF(SUM($M399:$M403)=0,"",SUM($M399:$M403))</f>
        <v/>
      </c>
      <c r="H399" s="17" t="n">
        <v>1</v>
      </c>
      <c r="I399" s="18" t="inlineStr">
        <is>
          <t>Run the prototype analyser Skill over your ClaimLens build and read the full report.</t>
        </is>
      </c>
      <c r="J399" s="19" t="inlineStr">
        <is>
          <t>To do</t>
        </is>
      </c>
      <c r="K399" s="20" t="n"/>
      <c r="L399" s="20" t="n"/>
      <c r="M399" s="21" t="n"/>
      <c r="N399" s="53" t="inlineStr">
        <is>
          <t>Before anyone else reviews it, review it yourself — against your own PRD and acceptance criteria, not against a style guide.</t>
        </is>
      </c>
      <c r="O399" s="53" t="inlineStr">
        <is>
          <t>• The internal prototype analyser Skill
• Your accessibility checklist from Task 4.9
• Your PRD and acceptance criteria from Task 8.4</t>
        </is>
      </c>
      <c r="P399" s="53" t="inlineStr">
        <is>
          <t>That last comparison is worth keeping. It tells you exactly where your own review process is weak, which is more useful than the fixed prototype.
---
---</t>
        </is>
      </c>
      <c r="Q399" s="53" t="inlineStr">
        <is>
          <t>4.9, 8.4</t>
        </is>
      </c>
      <c r="R399" s="54" t="n"/>
      <c r="S399" s="53" t="n"/>
    </row>
    <row r="400" ht="42.75" customHeight="1" s="71">
      <c r="A400" s="48" t="n"/>
      <c r="B400" s="48" t="n"/>
      <c r="C400" s="48" t="n"/>
      <c r="D400" s="48" t="n"/>
      <c r="E400" s="48" t="n"/>
      <c r="F400" s="48" t="n"/>
      <c r="G400" s="48" t="n"/>
      <c r="H400" s="22" t="n">
        <v>2</v>
      </c>
      <c r="I400" s="23" t="inlineStr">
        <is>
          <t>Separately, audit it by hand against your PRD and acceptance criteria: is every story represented, is every state designed, is the copy real, is it accessible?</t>
        </is>
      </c>
      <c r="J400" s="24" t="inlineStr">
        <is>
          <t>To do</t>
        </is>
      </c>
      <c r="K400" s="25" t="n"/>
      <c r="L400" s="25" t="n"/>
      <c r="M400" s="26" t="n"/>
      <c r="N400" s="48" t="n"/>
      <c r="O400" s="48" t="n"/>
      <c r="P400" s="48" t="n"/>
      <c r="Q400" s="48" t="n"/>
      <c r="R400" s="48" t="n"/>
      <c r="S400" s="48" t="n"/>
    </row>
    <row r="401" ht="30" customHeight="1" s="71">
      <c r="A401" s="48" t="n"/>
      <c r="B401" s="48" t="n"/>
      <c r="C401" s="48" t="n"/>
      <c r="D401" s="48" t="n"/>
      <c r="E401" s="48" t="n"/>
      <c r="F401" s="48" t="n"/>
      <c r="G401" s="48" t="n"/>
      <c r="H401" s="22" t="n">
        <v>3</v>
      </c>
      <c r="I401" s="23" t="inlineStr">
        <is>
          <t>Combine both into one prioritised issue list — critical, important, nice to have.</t>
        </is>
      </c>
      <c r="J401" s="24" t="inlineStr">
        <is>
          <t>To do</t>
        </is>
      </c>
      <c r="K401" s="25" t="n"/>
      <c r="L401" s="25" t="n"/>
      <c r="M401" s="26" t="n"/>
      <c r="N401" s="48" t="n"/>
      <c r="O401" s="48" t="n"/>
      <c r="P401" s="48" t="n"/>
      <c r="Q401" s="48" t="n"/>
      <c r="R401" s="48" t="n"/>
      <c r="S401" s="48" t="n"/>
    </row>
    <row r="402" ht="19.5" customHeight="1" s="71">
      <c r="A402" s="48" t="n"/>
      <c r="B402" s="48" t="n"/>
      <c r="C402" s="48" t="n"/>
      <c r="D402" s="48" t="n"/>
      <c r="E402" s="48" t="n"/>
      <c r="F402" s="48" t="n"/>
      <c r="G402" s="48" t="n"/>
      <c r="H402" s="22" t="n">
        <v>4</v>
      </c>
      <c r="I402" s="23" t="inlineStr">
        <is>
          <t>Fix everything critical and important.</t>
        </is>
      </c>
      <c r="J402" s="24" t="inlineStr">
        <is>
          <t>To do</t>
        </is>
      </c>
      <c r="K402" s="25" t="n"/>
      <c r="L402" s="25" t="n"/>
      <c r="M402" s="26" t="n"/>
      <c r="N402" s="48" t="n"/>
      <c r="O402" s="48" t="n"/>
      <c r="P402" s="48" t="n"/>
      <c r="Q402" s="48" t="n"/>
      <c r="R402" s="48" t="n"/>
      <c r="S402" s="48" t="n"/>
    </row>
    <row r="403" ht="30" customHeight="1" s="71">
      <c r="A403" s="49" t="n"/>
      <c r="B403" s="49" t="n"/>
      <c r="C403" s="49" t="n"/>
      <c r="D403" s="49" t="n"/>
      <c r="E403" s="49" t="n"/>
      <c r="F403" s="49" t="n"/>
      <c r="G403" s="49" t="n"/>
      <c r="H403" s="27" t="n">
        <v>5</v>
      </c>
      <c r="I403" s="28" t="inlineStr">
        <is>
          <t>Write two paragraphs: what the tool caught that you missed, and what you caught that the tool missed.</t>
        </is>
      </c>
      <c r="J403" s="29" t="inlineStr">
        <is>
          <t>To do</t>
        </is>
      </c>
      <c r="K403" s="31" t="n"/>
      <c r="L403" s="31" t="n"/>
      <c r="M403" s="30" t="n"/>
      <c r="N403" s="49" t="n"/>
      <c r="O403" s="49" t="n"/>
      <c r="P403" s="49" t="n"/>
      <c r="Q403" s="49" t="n"/>
      <c r="R403" s="49" t="n"/>
      <c r="S403" s="49" t="n"/>
    </row>
    <row r="404" ht="30" customHeight="1" s="71">
      <c r="A404" s="60" t="inlineStr">
        <is>
          <t>8.8</t>
        </is>
      </c>
      <c r="B404" s="51" t="n">
        <v>8</v>
      </c>
      <c r="C404" s="50" t="inlineStr">
        <is>
          <t>Practise: Test it on real people</t>
        </is>
      </c>
      <c r="D404" s="51" t="inlineStr">
        <is>
          <t>Practise</t>
        </is>
      </c>
      <c r="E404" s="51" t="n">
        <v>3</v>
      </c>
      <c r="F404" s="55">
        <f>IF(COUNTIF($J404:$J408,"Done")=5,"Done",IF(COUNTIF($J404:$J408,"Blocked")&gt;0,"Blocked",IF(COUNTIF($J404:$J408,"To do")=5,"Not started","In progress")))</f>
        <v/>
      </c>
      <c r="G404" s="55">
        <f>IF(SUM($M404:$M408)=0,"",SUM($M404:$M408))</f>
        <v/>
      </c>
      <c r="H404" s="17" t="n">
        <v>1</v>
      </c>
      <c r="I404" s="18" t="inlineStr">
        <is>
          <t>Write a five-task usability script for ClaimLens, phrased as goals.</t>
        </is>
      </c>
      <c r="J404" s="19" t="inlineStr">
        <is>
          <t>To do</t>
        </is>
      </c>
      <c r="K404" s="20" t="n"/>
      <c r="L404" s="20" t="n"/>
      <c r="M404" s="21" t="n"/>
      <c r="N404" s="52" t="inlineStr">
        <is>
          <t>Three colleagues, real tasks, no help from you.</t>
        </is>
      </c>
      <c r="O404" s="52" t="inlineStr">
        <is>
          <t>• Your usability script method from Task 2.6</t>
        </is>
      </c>
      <c r="P404" s="52" t="inlineStr">
        <is>
          <t>Watching someone work through something you designed takes a little patience, and it's the most valuable feedback available anywhere. Hold back on explaining. Just watch and write.
---
---</t>
        </is>
      </c>
      <c r="Q404" s="52" t="inlineStr">
        <is>
          <t>2.6</t>
        </is>
      </c>
      <c r="R404" s="51" t="n"/>
      <c r="S404" s="52" t="n"/>
    </row>
    <row r="405" ht="30" customHeight="1" s="71">
      <c r="A405" s="48" t="n"/>
      <c r="B405" s="48" t="n"/>
      <c r="C405" s="48" t="n"/>
      <c r="D405" s="48" t="n"/>
      <c r="E405" s="48" t="n"/>
      <c r="F405" s="48" t="n"/>
      <c r="G405" s="48" t="n"/>
      <c r="H405" s="22" t="n">
        <v>2</v>
      </c>
      <c r="I405" s="23" t="inlineStr">
        <is>
          <t>Recruit three colleagues who haven't seen the prototype. Twenty minutes each.</t>
        </is>
      </c>
      <c r="J405" s="24" t="inlineStr">
        <is>
          <t>To do</t>
        </is>
      </c>
      <c r="K405" s="25" t="n"/>
      <c r="L405" s="25" t="n"/>
      <c r="M405" s="26" t="n"/>
      <c r="N405" s="48" t="n"/>
      <c r="O405" s="48" t="n"/>
      <c r="P405" s="48" t="n"/>
      <c r="Q405" s="48" t="n"/>
      <c r="R405" s="48" t="n"/>
      <c r="S405" s="48" t="n"/>
    </row>
    <row r="406" ht="30" customHeight="1" s="71">
      <c r="A406" s="48" t="n"/>
      <c r="B406" s="48" t="n"/>
      <c r="C406" s="48" t="n"/>
      <c r="D406" s="48" t="n"/>
      <c r="E406" s="48" t="n"/>
      <c r="F406" s="48" t="n"/>
      <c r="G406" s="48" t="n"/>
      <c r="H406" s="22" t="n">
        <v>3</v>
      </c>
      <c r="I406" s="23" t="inlineStr">
        <is>
          <t>Run the sessions. Say nothing beyond the task prompt. Note every hesitation, wrong click and confused pause.</t>
        </is>
      </c>
      <c r="J406" s="24" t="inlineStr">
        <is>
          <t>To do</t>
        </is>
      </c>
      <c r="K406" s="25" t="n"/>
      <c r="L406" s="25" t="n"/>
      <c r="M406" s="26" t="n"/>
      <c r="N406" s="48" t="n"/>
      <c r="O406" s="48" t="n"/>
      <c r="P406" s="48" t="n"/>
      <c r="Q406" s="48" t="n"/>
      <c r="R406" s="48" t="n"/>
      <c r="S406" s="48" t="n"/>
    </row>
    <row r="407" ht="30" customHeight="1" s="71">
      <c r="A407" s="48" t="n"/>
      <c r="B407" s="48" t="n"/>
      <c r="C407" s="48" t="n"/>
      <c r="D407" s="48" t="n"/>
      <c r="E407" s="48" t="n"/>
      <c r="F407" s="48" t="n"/>
      <c r="G407" s="48" t="n"/>
      <c r="H407" s="22" t="n">
        <v>4</v>
      </c>
      <c r="I407" s="23" t="inlineStr">
        <is>
          <t>Write up the findings, grouping issues by severity and by how many participants hit them.</t>
        </is>
      </c>
      <c r="J407" s="24" t="inlineStr">
        <is>
          <t>To do</t>
        </is>
      </c>
      <c r="K407" s="25" t="n"/>
      <c r="L407" s="25" t="n"/>
      <c r="M407" s="26" t="n"/>
      <c r="N407" s="48" t="n"/>
      <c r="O407" s="48" t="n"/>
      <c r="P407" s="48" t="n"/>
      <c r="Q407" s="48" t="n"/>
      <c r="R407" s="48" t="n"/>
      <c r="S407" s="48" t="n"/>
    </row>
    <row r="408" ht="30" customHeight="1" s="71">
      <c r="A408" s="49" t="n"/>
      <c r="B408" s="49" t="n"/>
      <c r="C408" s="49" t="n"/>
      <c r="D408" s="49" t="n"/>
      <c r="E408" s="49" t="n"/>
      <c r="F408" s="49" t="n"/>
      <c r="G408" s="49" t="n"/>
      <c r="H408" s="27" t="n">
        <v>5</v>
      </c>
      <c r="I408" s="28" t="inlineStr">
        <is>
          <t>Fix the top three issues in the prototype and note what you deliberately chose not to fix, and why.</t>
        </is>
      </c>
      <c r="J408" s="29" t="inlineStr">
        <is>
          <t>To do</t>
        </is>
      </c>
      <c r="K408" s="31" t="n"/>
      <c r="L408" s="31" t="n"/>
      <c r="M408" s="30" t="n"/>
      <c r="N408" s="49" t="n"/>
      <c r="O408" s="49" t="n"/>
      <c r="P408" s="49" t="n"/>
      <c r="Q408" s="49" t="n"/>
      <c r="R408" s="49" t="n"/>
      <c r="S408" s="49" t="n"/>
    </row>
    <row r="409" ht="42.75" customHeight="1" s="71">
      <c r="A409" s="65" t="inlineStr">
        <is>
          <t>8.9</t>
        </is>
      </c>
      <c r="B409" s="54" t="n">
        <v>8</v>
      </c>
      <c r="C409" s="64" t="inlineStr">
        <is>
          <t>Present: The full walkthrough</t>
        </is>
      </c>
      <c r="D409" s="54" t="inlineStr">
        <is>
          <t>Present</t>
        </is>
      </c>
      <c r="E409" s="54" t="n">
        <v>3</v>
      </c>
      <c r="F409" s="47">
        <f>IF(COUNTIF($J409:$J413,"Done")=5,"Done",IF(COUNTIF($J409:$J413,"Blocked")&gt;0,"Blocked",IF(COUNTIF($J409:$J413,"To do")=5,"Not started","In progress")))</f>
        <v/>
      </c>
      <c r="G409" s="47">
        <f>IF(SUM($M409:$M413)=0,"",SUM($M409:$M413))</f>
        <v/>
      </c>
      <c r="H409" s="17" t="n">
        <v>1</v>
      </c>
      <c r="I409" s="18" t="inlineStr">
        <is>
          <t>Build a walkthrough covering: the brief, what discovery changed, the scope decision, the flows, the prototype, what testing found, and what you'd do next.</t>
        </is>
      </c>
      <c r="J409" s="19" t="inlineStr">
        <is>
          <t>To do</t>
        </is>
      </c>
      <c r="K409" s="20" t="n"/>
      <c r="L409" s="20" t="n"/>
      <c r="M409" s="21" t="n"/>
      <c r="N409" s="53" t="inlineStr">
        <is>
          <t>Present the entire engagement — brief to tested prototype — to your mentor and one or two colleagues.</t>
        </is>
      </c>
      <c r="O409" s="53" t="inlineStr">
        <is>
          <t>• Your presentation structure from Task 5.13
• Everything in your ClaimLens folder</t>
        </is>
      </c>
      <c r="P409" s="53" t="inlineStr">
        <is>
          <t>Present the reasoning, not just the screens. Anyone can show a prototype; the value you add is being able to explain why it's shaped the way it is.
---
---</t>
        </is>
      </c>
      <c r="Q409" s="53" t="inlineStr">
        <is>
          <t>5.13</t>
        </is>
      </c>
      <c r="R409" s="54" t="n"/>
      <c r="S409" s="53" t="n"/>
    </row>
    <row r="410" ht="19.5" customHeight="1" s="71">
      <c r="A410" s="48" t="n"/>
      <c r="B410" s="48" t="n"/>
      <c r="C410" s="48" t="n"/>
      <c r="D410" s="48" t="n"/>
      <c r="E410" s="48" t="n"/>
      <c r="F410" s="48" t="n"/>
      <c r="G410" s="48" t="n"/>
      <c r="H410" s="22" t="n">
        <v>2</v>
      </c>
      <c r="I410" s="23" t="inlineStr">
        <is>
          <t>Keep it to twenty minutes with ten for questions.</t>
        </is>
      </c>
      <c r="J410" s="24" t="inlineStr">
        <is>
          <t>To do</t>
        </is>
      </c>
      <c r="K410" s="25" t="n"/>
      <c r="L410" s="25" t="n"/>
      <c r="M410" s="26" t="n"/>
      <c r="N410" s="48" t="n"/>
      <c r="O410" s="48" t="n"/>
      <c r="P410" s="48" t="n"/>
      <c r="Q410" s="48" t="n"/>
      <c r="R410" s="48" t="n"/>
      <c r="S410" s="48" t="n"/>
    </row>
    <row r="411" ht="30" customHeight="1" s="71">
      <c r="A411" s="48" t="n"/>
      <c r="B411" s="48" t="n"/>
      <c r="C411" s="48" t="n"/>
      <c r="D411" s="48" t="n"/>
      <c r="E411" s="48" t="n"/>
      <c r="F411" s="48" t="n"/>
      <c r="G411" s="48" t="n"/>
      <c r="H411" s="22" t="n">
        <v>3</v>
      </c>
      <c r="I411" s="23" t="inlineStr">
        <is>
          <t>Rehearse once with Claude playing a stakeholder who asks demanding questions.</t>
        </is>
      </c>
      <c r="J411" s="24" t="inlineStr">
        <is>
          <t>To do</t>
        </is>
      </c>
      <c r="K411" s="25" t="n"/>
      <c r="L411" s="25" t="n"/>
      <c r="M411" s="26" t="n"/>
      <c r="N411" s="48" t="n"/>
      <c r="O411" s="48" t="n"/>
      <c r="P411" s="48" t="n"/>
      <c r="Q411" s="48" t="n"/>
      <c r="R411" s="48" t="n"/>
      <c r="S411" s="48" t="n"/>
    </row>
    <row r="412" ht="30" customHeight="1" s="71">
      <c r="A412" s="48" t="n"/>
      <c r="B412" s="48" t="n"/>
      <c r="C412" s="48" t="n"/>
      <c r="D412" s="48" t="n"/>
      <c r="E412" s="48" t="n"/>
      <c r="F412" s="48" t="n"/>
      <c r="G412" s="48" t="n"/>
      <c r="H412" s="22" t="n">
        <v>4</v>
      </c>
      <c r="I412" s="23" t="inlineStr">
        <is>
          <t>Present it. Take notes on every question you couldn't answer well.</t>
        </is>
      </c>
      <c r="J412" s="24" t="inlineStr">
        <is>
          <t>To do</t>
        </is>
      </c>
      <c r="K412" s="25" t="n"/>
      <c r="L412" s="25" t="n"/>
      <c r="M412" s="26" t="n"/>
      <c r="N412" s="48" t="n"/>
      <c r="O412" s="48" t="n"/>
      <c r="P412" s="48" t="n"/>
      <c r="Q412" s="48" t="n"/>
      <c r="R412" s="48" t="n"/>
      <c r="S412" s="48" t="n"/>
    </row>
    <row r="413" ht="30" customHeight="1" s="71">
      <c r="A413" s="49" t="n"/>
      <c r="B413" s="49" t="n"/>
      <c r="C413" s="49" t="n"/>
      <c r="D413" s="49" t="n"/>
      <c r="E413" s="49" t="n"/>
      <c r="F413" s="49" t="n"/>
      <c r="G413" s="49" t="n"/>
      <c r="H413" s="27" t="n">
        <v>5</v>
      </c>
      <c r="I413" s="28" t="inlineStr">
        <is>
          <t>Send a written follow-up within a day covering the open questions.</t>
        </is>
      </c>
      <c r="J413" s="29" t="inlineStr">
        <is>
          <t>To do</t>
        </is>
      </c>
      <c r="K413" s="31" t="n"/>
      <c r="L413" s="31" t="n"/>
      <c r="M413" s="30" t="n"/>
      <c r="N413" s="49" t="n"/>
      <c r="O413" s="49" t="n"/>
      <c r="P413" s="49" t="n"/>
      <c r="Q413" s="49" t="n"/>
      <c r="R413" s="49" t="n"/>
      <c r="S413" s="49" t="n"/>
    </row>
    <row r="414" ht="30" customHeight="1" s="71">
      <c r="A414" s="60" t="inlineStr">
        <is>
          <t>8.10</t>
        </is>
      </c>
      <c r="B414" s="51" t="n">
        <v>8</v>
      </c>
      <c r="C414" s="50" t="inlineStr">
        <is>
          <t>Reflect: Retrospective and Phase 2 readiness</t>
        </is>
      </c>
      <c r="D414" s="51" t="inlineStr">
        <is>
          <t>Reflect</t>
        </is>
      </c>
      <c r="E414" s="51" t="n">
        <v>2</v>
      </c>
      <c r="F414" s="55">
        <f>IF(COUNTIF($J414:$J418,"Done")=5,"Done",IF(COUNTIF($J414:$J418,"Blocked")&gt;0,"Blocked",IF(COUNTIF($J414:$J418,"To do")=5,"Not started","In progress")))</f>
        <v/>
      </c>
      <c r="G414" s="55">
        <f>IF(SUM($M414:$M418)=0,"",SUM($M414:$M418))</f>
        <v/>
      </c>
      <c r="H414" s="17" t="n">
        <v>1</v>
      </c>
      <c r="I414" s="18" t="inlineStr">
        <is>
          <t>Reread your journal from day one. Note three things you believed in week one that you no longer believe.</t>
        </is>
      </c>
      <c r="J414" s="19" t="inlineStr">
        <is>
          <t>To do</t>
        </is>
      </c>
      <c r="K414" s="20" t="n"/>
      <c r="L414" s="20" t="n"/>
      <c r="M414" s="21" t="n"/>
      <c r="N414" s="52" t="inlineStr">
        <is>
          <t>Close the phase deliberately and set up what comes next.</t>
        </is>
      </c>
      <c r="O414" s="52" t="inlineStr">
        <is>
          <t>• Your full learning journal
• Appendix D: Phase 2 readiness checklist</t>
        </is>
      </c>
      <c r="P414" s="52" t="inlineStr">
        <is>
          <t>Rate yourself honestly on the checklist. It isn't a test — it's how you and your mentor decide where Phase 2 should slow down and give you more time. A low score anywhere is simply useful information.
---
---</t>
        </is>
      </c>
      <c r="Q414" s="52" t="inlineStr">
        <is>
          <t>—</t>
        </is>
      </c>
      <c r="R414" s="51" t="n"/>
      <c r="S414" s="52" t="n"/>
    </row>
    <row r="415" ht="30" customHeight="1" s="71">
      <c r="A415" s="48" t="n"/>
      <c r="B415" s="48" t="n"/>
      <c r="C415" s="48" t="n"/>
      <c r="D415" s="48" t="n"/>
      <c r="E415" s="48" t="n"/>
      <c r="F415" s="48" t="n"/>
      <c r="G415" s="48" t="n"/>
      <c r="H415" s="22" t="n">
        <v>2</v>
      </c>
      <c r="I415" s="23" t="inlineStr">
        <is>
          <t>Run a retrospective on yourself: what went well, what didn't, what you'd change about how you learned.</t>
        </is>
      </c>
      <c r="J415" s="24" t="inlineStr">
        <is>
          <t>To do</t>
        </is>
      </c>
      <c r="K415" s="25" t="n"/>
      <c r="L415" s="25" t="n"/>
      <c r="M415" s="26" t="n"/>
      <c r="N415" s="48" t="n"/>
      <c r="O415" s="48" t="n"/>
      <c r="P415" s="48" t="n"/>
      <c r="Q415" s="48" t="n"/>
      <c r="R415" s="48" t="n"/>
      <c r="S415" s="48" t="n"/>
    </row>
    <row r="416" ht="30" customHeight="1" s="71">
      <c r="A416" s="48" t="n"/>
      <c r="B416" s="48" t="n"/>
      <c r="C416" s="48" t="n"/>
      <c r="D416" s="48" t="n"/>
      <c r="E416" s="48" t="n"/>
      <c r="F416" s="48" t="n"/>
      <c r="G416" s="48" t="n"/>
      <c r="H416" s="22" t="n">
        <v>3</v>
      </c>
      <c r="I416" s="23" t="inlineStr">
        <is>
          <t>Complete the Phase 2 readiness checklist in Appendix D honestly, including the items you'd rate yourself low on.</t>
        </is>
      </c>
      <c r="J416" s="24" t="inlineStr">
        <is>
          <t>To do</t>
        </is>
      </c>
      <c r="K416" s="25" t="n"/>
      <c r="L416" s="25" t="n"/>
      <c r="M416" s="26" t="n"/>
      <c r="N416" s="48" t="n"/>
      <c r="O416" s="48" t="n"/>
      <c r="P416" s="48" t="n"/>
      <c r="Q416" s="48" t="n"/>
      <c r="R416" s="48" t="n"/>
      <c r="S416" s="48" t="n"/>
    </row>
    <row r="417" ht="30" customHeight="1" s="71">
      <c r="A417" s="48" t="n"/>
      <c r="B417" s="48" t="n"/>
      <c r="C417" s="48" t="n"/>
      <c r="D417" s="48" t="n"/>
      <c r="E417" s="48" t="n"/>
      <c r="F417" s="48" t="n"/>
      <c r="G417" s="48" t="n"/>
      <c r="H417" s="22" t="n">
        <v>4</v>
      </c>
      <c r="I417" s="23" t="inlineStr">
        <is>
          <t>Write down the three areas you most want to strengthen in Phase 2.</t>
        </is>
      </c>
      <c r="J417" s="24" t="inlineStr">
        <is>
          <t>To do</t>
        </is>
      </c>
      <c r="K417" s="25" t="n"/>
      <c r="L417" s="25" t="n"/>
      <c r="M417" s="26" t="n"/>
      <c r="N417" s="48" t="n"/>
      <c r="O417" s="48" t="n"/>
      <c r="P417" s="48" t="n"/>
      <c r="Q417" s="48" t="n"/>
      <c r="R417" s="48" t="n"/>
      <c r="S417" s="48" t="n"/>
    </row>
    <row r="418" ht="19.5" customHeight="1" s="71">
      <c r="A418" s="49" t="n"/>
      <c r="B418" s="49" t="n"/>
      <c r="C418" s="49" t="n"/>
      <c r="D418" s="49" t="n"/>
      <c r="E418" s="49" t="n"/>
      <c r="F418" s="49" t="n"/>
      <c r="G418" s="49" t="n"/>
      <c r="H418" s="27" t="n">
        <v>5</v>
      </c>
      <c r="I418" s="28" t="inlineStr">
        <is>
          <t>Discuss all of it with your mentor.</t>
        </is>
      </c>
      <c r="J418" s="29" t="inlineStr">
        <is>
          <t>To do</t>
        </is>
      </c>
      <c r="K418" s="31" t="n"/>
      <c r="L418" s="31" t="n"/>
      <c r="M418" s="30" t="n"/>
      <c r="N418" s="49" t="n"/>
      <c r="O418" s="49" t="n"/>
      <c r="P418" s="49" t="n"/>
      <c r="Q418" s="49" t="n"/>
      <c r="R418" s="49" t="n"/>
      <c r="S418" s="49" t="n"/>
    </row>
    <row r="419" ht="15.75" customHeight="1" s="71"/>
    <row r="420" ht="15.75" customHeight="1" s="71"/>
    <row r="421" ht="15.75" customHeight="1" s="71"/>
    <row r="422" ht="15.75" customHeight="1" s="71"/>
    <row r="423" ht="15.75" customHeight="1" s="71"/>
    <row r="424" ht="15.75" customHeight="1" s="71"/>
    <row r="425" ht="15.75" customHeight="1" s="71"/>
    <row r="426" ht="15.75" customHeight="1" s="71"/>
    <row r="427" ht="15.75" customHeight="1" s="71"/>
    <row r="428" ht="15.75" customHeight="1" s="71"/>
    <row r="429" ht="15.75" customHeight="1" s="71"/>
    <row r="430" ht="15.75" customHeight="1" s="71"/>
    <row r="431" ht="15.75" customHeight="1" s="71"/>
    <row r="432" ht="15.75" customHeight="1" s="71"/>
    <row r="433" ht="15.75" customHeight="1" s="71"/>
    <row r="434" ht="15.75" customHeight="1" s="71"/>
    <row r="435" ht="15.75" customHeight="1" s="71"/>
    <row r="436" ht="15.75" customHeight="1" s="71"/>
    <row r="437" ht="15.75" customHeight="1" s="71"/>
    <row r="438" ht="15.75" customHeight="1" s="71"/>
    <row r="439" ht="15.75" customHeight="1" s="71"/>
    <row r="440" ht="15.75" customHeight="1" s="71"/>
    <row r="441" ht="15.75" customHeight="1" s="71"/>
    <row r="442" ht="15.75" customHeight="1" s="71"/>
    <row r="443" ht="15.75" customHeight="1" s="71"/>
    <row r="444" ht="15.75" customHeight="1" s="71"/>
    <row r="445" ht="15.75" customHeight="1" s="71"/>
    <row r="446" ht="15.75" customHeight="1" s="71"/>
    <row r="447" ht="15.75" customHeight="1" s="71"/>
    <row r="448" ht="15.75" customHeight="1" s="71"/>
    <row r="449" ht="15.75" customHeight="1" s="71"/>
    <row r="450" ht="15.75" customHeight="1" s="71"/>
    <row r="451" ht="15.75" customHeight="1" s="71"/>
    <row r="452" ht="15.75" customHeight="1" s="71"/>
    <row r="453" ht="15.75" customHeight="1" s="71"/>
    <row r="454" ht="15.75" customHeight="1" s="71"/>
    <row r="455" ht="15.75" customHeight="1" s="71"/>
    <row r="456" ht="15.75" customHeight="1" s="71"/>
    <row r="457" ht="15.75" customHeight="1" s="71"/>
    <row r="458" ht="15.75" customHeight="1" s="71"/>
    <row r="459" ht="15.75" customHeight="1" s="71"/>
    <row r="460" ht="15.75" customHeight="1" s="71"/>
    <row r="461" ht="15.75" customHeight="1" s="71"/>
    <row r="462" ht="15.75" customHeight="1" s="71"/>
    <row r="463" ht="15.75" customHeight="1" s="71"/>
    <row r="464" ht="15.75" customHeight="1" s="71"/>
    <row r="465" ht="15.75" customHeight="1" s="71"/>
    <row r="466" ht="15.75" customHeight="1" s="71"/>
    <row r="467" ht="15.75" customHeight="1" s="71"/>
    <row r="468" ht="15.75" customHeight="1" s="71"/>
    <row r="469" ht="15.75" customHeight="1" s="71"/>
    <row r="470" ht="15.75" customHeight="1" s="71"/>
    <row r="471" ht="15.75" customHeight="1" s="71"/>
    <row r="472" ht="15.75" customHeight="1" s="71"/>
    <row r="473" ht="15.75" customHeight="1" s="71"/>
    <row r="474" ht="15.75" customHeight="1" s="71"/>
    <row r="475" ht="15.75" customHeight="1" s="71"/>
    <row r="476" ht="15.75" customHeight="1" s="71"/>
    <row r="477" ht="15.75" customHeight="1" s="71"/>
    <row r="478" ht="15.75" customHeight="1" s="71"/>
    <row r="479" ht="15.75" customHeight="1" s="71"/>
    <row r="480" ht="15.75" customHeight="1" s="71"/>
    <row r="481" ht="15.75" customHeight="1" s="71"/>
    <row r="482" ht="15.75" customHeight="1" s="71"/>
    <row r="483" ht="15.75" customHeight="1" s="71"/>
    <row r="484" ht="15.75" customHeight="1" s="71"/>
    <row r="485" ht="15.75" customHeight="1" s="71"/>
    <row r="486" ht="15.75" customHeight="1" s="71"/>
    <row r="487" ht="15.75" customHeight="1" s="71"/>
    <row r="488" ht="15.75" customHeight="1" s="71"/>
    <row r="489" ht="15.75" customHeight="1" s="71"/>
    <row r="490" ht="15.75" customHeight="1" s="71"/>
    <row r="491" ht="15.75" customHeight="1" s="71"/>
    <row r="492" ht="15.75" customHeight="1" s="71"/>
    <row r="493" ht="15.75" customHeight="1" s="71"/>
    <row r="494" ht="15.75" customHeight="1" s="71"/>
    <row r="495" ht="15.75" customHeight="1" s="71"/>
    <row r="496" ht="15.75" customHeight="1" s="71"/>
    <row r="497" ht="15.75" customHeight="1" s="71"/>
    <row r="498" ht="15.75" customHeight="1" s="71"/>
    <row r="499" ht="15.75" customHeight="1" s="71"/>
    <row r="500" ht="15.75" customHeight="1" s="71"/>
    <row r="501" ht="15.75" customHeight="1" s="71"/>
    <row r="502" ht="15.75" customHeight="1" s="71"/>
    <row r="503" ht="15.75" customHeight="1" s="71"/>
    <row r="504" ht="15.75" customHeight="1" s="71"/>
    <row r="505" ht="15.75" customHeight="1" s="71"/>
    <row r="506" ht="15.75" customHeight="1" s="71"/>
    <row r="507" ht="15.75" customHeight="1" s="71"/>
    <row r="508" ht="15.75" customHeight="1" s="71"/>
    <row r="509" ht="15.75" customHeight="1" s="71"/>
    <row r="510" ht="15.75" customHeight="1" s="71"/>
    <row r="511" ht="15.75" customHeight="1" s="71"/>
    <row r="512" ht="15.75" customHeight="1" s="71"/>
    <row r="513" ht="15.75" customHeight="1" s="71"/>
    <row r="514" ht="15.75" customHeight="1" s="71"/>
    <row r="515" ht="15.75" customHeight="1" s="71"/>
    <row r="516" ht="15.75" customHeight="1" s="71"/>
    <row r="517" ht="15.75" customHeight="1" s="71"/>
    <row r="518" ht="15.75" customHeight="1" s="71"/>
    <row r="519" ht="15.75" customHeight="1" s="71"/>
    <row r="520" ht="15.75" customHeight="1" s="71"/>
    <row r="521" ht="15.75" customHeight="1" s="71"/>
    <row r="522" ht="15.75" customHeight="1" s="71"/>
    <row r="523" ht="15.75" customHeight="1" s="71"/>
    <row r="524" ht="15.75" customHeight="1" s="71"/>
    <row r="525" ht="15.75" customHeight="1" s="71"/>
    <row r="526" ht="15.75" customHeight="1" s="71"/>
    <row r="527" ht="15.75" customHeight="1" s="71"/>
    <row r="528" ht="15.75" customHeight="1" s="71"/>
    <row r="529" ht="15.75" customHeight="1" s="71"/>
    <row r="530" ht="15.75" customHeight="1" s="71"/>
    <row r="531" ht="15.75" customHeight="1" s="71"/>
    <row r="532" ht="15.75" customHeight="1" s="71"/>
    <row r="533" ht="15.75" customHeight="1" s="71"/>
    <row r="534" ht="15.75" customHeight="1" s="71"/>
    <row r="535" ht="15.75" customHeight="1" s="71"/>
    <row r="536" ht="15.75" customHeight="1" s="71"/>
    <row r="537" ht="15.75" customHeight="1" s="71"/>
    <row r="538" ht="15.75" customHeight="1" s="71"/>
    <row r="539" ht="15.75" customHeight="1" s="71"/>
    <row r="540" ht="15.75" customHeight="1" s="71"/>
    <row r="541" ht="15.75" customHeight="1" s="71"/>
    <row r="542" ht="15.75" customHeight="1" s="71"/>
    <row r="543" ht="15.75" customHeight="1" s="71"/>
    <row r="544" ht="15.75" customHeight="1" s="71"/>
    <row r="545" ht="15.75" customHeight="1" s="71"/>
    <row r="546" ht="15.75" customHeight="1" s="71"/>
    <row r="547" ht="15.75" customHeight="1" s="71"/>
    <row r="548" ht="15.75" customHeight="1" s="71"/>
    <row r="549" ht="15.75" customHeight="1" s="71"/>
    <row r="550" ht="15.75" customHeight="1" s="71"/>
    <row r="551" ht="15.75" customHeight="1" s="71"/>
    <row r="552" ht="15.75" customHeight="1" s="71"/>
    <row r="553" ht="15.75" customHeight="1" s="71"/>
    <row r="554" ht="15.75" customHeight="1" s="71"/>
    <row r="555" ht="15.75" customHeight="1" s="71"/>
    <row r="556" ht="15.75" customHeight="1" s="71"/>
    <row r="557" ht="15.75" customHeight="1" s="71"/>
    <row r="558" ht="15.75" customHeight="1" s="71"/>
    <row r="559" ht="15.75" customHeight="1" s="71"/>
    <row r="560" ht="15.75" customHeight="1" s="71"/>
    <row r="561" ht="15.75" customHeight="1" s="71"/>
    <row r="562" ht="15.75" customHeight="1" s="71"/>
    <row r="563" ht="15.75" customHeight="1" s="71"/>
    <row r="564" ht="15.75" customHeight="1" s="71"/>
    <row r="565" ht="15.75" customHeight="1" s="71"/>
    <row r="566" ht="15.75" customHeight="1" s="71"/>
    <row r="567" ht="15.75" customHeight="1" s="71"/>
    <row r="568" ht="15.75" customHeight="1" s="71"/>
    <row r="569" ht="15.75" customHeight="1" s="71"/>
    <row r="570" ht="15.75" customHeight="1" s="71"/>
    <row r="571" ht="15.75" customHeight="1" s="71"/>
    <row r="572" ht="15.75" customHeight="1" s="71"/>
    <row r="573" ht="15.75" customHeight="1" s="71"/>
    <row r="574" ht="15.75" customHeight="1" s="71"/>
    <row r="575" ht="15.75" customHeight="1" s="71"/>
    <row r="576" ht="15.75" customHeight="1" s="71"/>
    <row r="577" ht="15.75" customHeight="1" s="71"/>
    <row r="578" ht="15.75" customHeight="1" s="71"/>
    <row r="579" ht="15.75" customHeight="1" s="71"/>
    <row r="580" ht="15.75" customHeight="1" s="71"/>
    <row r="581" ht="15.75" customHeight="1" s="71"/>
    <row r="582" ht="15.75" customHeight="1" s="71"/>
    <row r="583" ht="15.75" customHeight="1" s="71"/>
    <row r="584" ht="15.75" customHeight="1" s="71"/>
    <row r="585" ht="15.75" customHeight="1" s="71"/>
    <row r="586" ht="15.75" customHeight="1" s="71"/>
    <row r="587" ht="15.75" customHeight="1" s="71"/>
    <row r="588" ht="15.75" customHeight="1" s="71"/>
    <row r="589" ht="15.75" customHeight="1" s="71"/>
    <row r="590" ht="15.75" customHeight="1" s="71"/>
    <row r="591" ht="15.75" customHeight="1" s="71"/>
    <row r="592" ht="15.75" customHeight="1" s="71"/>
    <row r="593" ht="15.75" customHeight="1" s="71"/>
    <row r="594" ht="15.75" customHeight="1" s="71"/>
    <row r="595" ht="15.75" customHeight="1" s="71"/>
    <row r="596" ht="15.75" customHeight="1" s="71"/>
    <row r="597" ht="15.75" customHeight="1" s="71"/>
    <row r="598" ht="15.75" customHeight="1" s="71"/>
    <row r="599" ht="15.75" customHeight="1" s="71"/>
    <row r="600" ht="15.75" customHeight="1" s="71"/>
    <row r="601" ht="15.75" customHeight="1" s="71"/>
    <row r="602" ht="15.75" customHeight="1" s="71"/>
    <row r="603" ht="15.75" customHeight="1" s="71"/>
    <row r="604" ht="15.75" customHeight="1" s="71"/>
    <row r="605" ht="15.75" customHeight="1" s="71"/>
    <row r="606" ht="15.75" customHeight="1" s="71"/>
    <row r="607" ht="15.75" customHeight="1" s="71"/>
    <row r="608" ht="15.75" customHeight="1" s="71"/>
    <row r="609" ht="15.75" customHeight="1" s="71"/>
    <row r="610" ht="15.75" customHeight="1" s="71"/>
    <row r="611" ht="15.75" customHeight="1" s="71"/>
    <row r="612" ht="15.75" customHeight="1" s="71"/>
    <row r="613" ht="15.75" customHeight="1" s="71"/>
    <row r="614" ht="15.75" customHeight="1" s="71"/>
    <row r="615" ht="15.75" customHeight="1" s="71"/>
    <row r="616" ht="15.75" customHeight="1" s="71"/>
    <row r="617" ht="15.75" customHeight="1" s="71"/>
    <row r="618" ht="15.75" customHeight="1" s="71"/>
    <row r="619" ht="15.75" customHeight="1" s="71"/>
    <row r="620" ht="15.75" customHeight="1" s="71"/>
    <row r="621" ht="15.75" customHeight="1" s="71"/>
    <row r="622" ht="15.75" customHeight="1" s="71"/>
    <row r="623" ht="15.75" customHeight="1" s="71"/>
    <row r="624" ht="15.75" customHeight="1" s="71"/>
    <row r="625" ht="15.75" customHeight="1" s="71"/>
    <row r="626" ht="15.75" customHeight="1" s="71"/>
    <row r="627" ht="15.75" customHeight="1" s="71"/>
    <row r="628" ht="15.75" customHeight="1" s="71"/>
    <row r="629" ht="15.75" customHeight="1" s="71"/>
    <row r="630" ht="15.75" customHeight="1" s="71"/>
    <row r="631" ht="15.75" customHeight="1" s="71"/>
    <row r="632" ht="15.75" customHeight="1" s="71"/>
    <row r="633" ht="15.75" customHeight="1" s="71"/>
    <row r="634" ht="15.75" customHeight="1" s="71"/>
    <row r="635" ht="15.75" customHeight="1" s="71"/>
    <row r="636" ht="15.75" customHeight="1" s="71"/>
    <row r="637" ht="15.75" customHeight="1" s="71"/>
    <row r="638" ht="15.75" customHeight="1" s="71"/>
    <row r="639" ht="15.75" customHeight="1" s="71"/>
    <row r="640" ht="15.75" customHeight="1" s="71"/>
    <row r="641" ht="15.75" customHeight="1" s="71"/>
    <row r="642" ht="15.75" customHeight="1" s="71"/>
    <row r="643" ht="15.75" customHeight="1" s="71"/>
    <row r="644" ht="15.75" customHeight="1" s="71"/>
    <row r="645" ht="15.75" customHeight="1" s="71"/>
    <row r="646" ht="15.75" customHeight="1" s="71"/>
    <row r="647" ht="15.75" customHeight="1" s="71"/>
    <row r="648" ht="15.75" customHeight="1" s="71"/>
    <row r="649" ht="15.75" customHeight="1" s="71"/>
    <row r="650" ht="15.75" customHeight="1" s="71"/>
    <row r="651" ht="15.75" customHeight="1" s="71"/>
    <row r="652" ht="15.75" customHeight="1" s="71"/>
    <row r="653" ht="15.75" customHeight="1" s="71"/>
    <row r="654" ht="15.75" customHeight="1" s="71"/>
    <row r="655" ht="15.75" customHeight="1" s="71"/>
    <row r="656" ht="15.75" customHeight="1" s="71"/>
    <row r="657" ht="15.75" customHeight="1" s="71"/>
    <row r="658" ht="15.75" customHeight="1" s="71"/>
    <row r="659" ht="15.75" customHeight="1" s="71"/>
    <row r="660" ht="15.75" customHeight="1" s="71"/>
    <row r="661" ht="15.75" customHeight="1" s="71"/>
    <row r="662" ht="15.75" customHeight="1" s="71"/>
    <row r="663" ht="15.75" customHeight="1" s="71"/>
    <row r="664" ht="15.75" customHeight="1" s="71"/>
    <row r="665" ht="15.75" customHeight="1" s="71"/>
    <row r="666" ht="15.75" customHeight="1" s="71"/>
    <row r="667" ht="15.75" customHeight="1" s="71"/>
    <row r="668" ht="15.75" customHeight="1" s="71"/>
    <row r="669" ht="15.75" customHeight="1" s="71"/>
    <row r="670" ht="15.75" customHeight="1" s="71"/>
    <row r="671" ht="15.75" customHeight="1" s="71"/>
    <row r="672" ht="15.75" customHeight="1" s="71"/>
    <row r="673" ht="15.75" customHeight="1" s="71"/>
    <row r="674" ht="15.75" customHeight="1" s="71"/>
    <row r="675" ht="15.75" customHeight="1" s="71"/>
    <row r="676" ht="15.75" customHeight="1" s="71"/>
    <row r="677" ht="15.75" customHeight="1" s="71"/>
    <row r="678" ht="15.75" customHeight="1" s="71"/>
    <row r="679" ht="15.75" customHeight="1" s="71"/>
    <row r="680" ht="15.75" customHeight="1" s="71"/>
    <row r="681" ht="15.75" customHeight="1" s="71"/>
    <row r="682" ht="15.75" customHeight="1" s="71"/>
    <row r="683" ht="15.75" customHeight="1" s="71"/>
    <row r="684" ht="15.75" customHeight="1" s="71"/>
    <row r="685" ht="15.75" customHeight="1" s="71"/>
    <row r="686" ht="15.75" customHeight="1" s="71"/>
    <row r="687" ht="15.75" customHeight="1" s="71"/>
    <row r="688" ht="15.75" customHeight="1" s="71"/>
    <row r="689" ht="15.75" customHeight="1" s="71"/>
    <row r="690" ht="15.75" customHeight="1" s="71"/>
    <row r="691" ht="15.75" customHeight="1" s="71"/>
    <row r="692" ht="15.75" customHeight="1" s="71"/>
    <row r="693" ht="15.75" customHeight="1" s="71"/>
    <row r="694" ht="15.75" customHeight="1" s="71"/>
    <row r="695" ht="15.75" customHeight="1" s="71"/>
    <row r="696" ht="15.75" customHeight="1" s="71"/>
    <row r="697" ht="15.75" customHeight="1" s="71"/>
    <row r="698" ht="15.75" customHeight="1" s="71"/>
    <row r="699" ht="15.75" customHeight="1" s="71"/>
    <row r="700" ht="15.75" customHeight="1" s="71"/>
    <row r="701" ht="15.75" customHeight="1" s="71"/>
    <row r="702" ht="15.75" customHeight="1" s="71"/>
    <row r="703" ht="15.75" customHeight="1" s="71"/>
    <row r="704" ht="15.75" customHeight="1" s="71"/>
    <row r="705" ht="15.75" customHeight="1" s="71"/>
    <row r="706" ht="15.75" customHeight="1" s="71"/>
    <row r="707" ht="15.75" customHeight="1" s="71"/>
    <row r="708" ht="15.75" customHeight="1" s="71"/>
    <row r="709" ht="15.75" customHeight="1" s="71"/>
    <row r="710" ht="15.75" customHeight="1" s="71"/>
    <row r="711" ht="15.75" customHeight="1" s="71"/>
    <row r="712" ht="15.75" customHeight="1" s="71"/>
    <row r="713" ht="15.75" customHeight="1" s="71"/>
    <row r="714" ht="15.75" customHeight="1" s="71"/>
    <row r="715" ht="15.75" customHeight="1" s="71"/>
    <row r="716" ht="15.75" customHeight="1" s="71"/>
    <row r="717" ht="15.75" customHeight="1" s="71"/>
    <row r="718" ht="15.75" customHeight="1" s="71"/>
    <row r="719" ht="15.75" customHeight="1" s="71"/>
    <row r="720" ht="15.75" customHeight="1" s="71"/>
    <row r="721" ht="15.75" customHeight="1" s="71"/>
    <row r="722" ht="15.75" customHeight="1" s="71"/>
    <row r="723" ht="15.75" customHeight="1" s="71"/>
    <row r="724" ht="15.75" customHeight="1" s="71"/>
    <row r="725" ht="15.75" customHeight="1" s="71"/>
    <row r="726" ht="15.75" customHeight="1" s="71"/>
    <row r="727" ht="15.75" customHeight="1" s="71"/>
    <row r="728" ht="15.75" customHeight="1" s="71"/>
    <row r="729" ht="15.75" customHeight="1" s="71"/>
    <row r="730" ht="15.75" customHeight="1" s="71"/>
    <row r="731" ht="15.75" customHeight="1" s="71"/>
    <row r="732" ht="15.75" customHeight="1" s="71"/>
    <row r="733" ht="15.75" customHeight="1" s="71"/>
    <row r="734" ht="15.75" customHeight="1" s="71"/>
    <row r="735" ht="15.75" customHeight="1" s="71"/>
    <row r="736" ht="15.75" customHeight="1" s="71"/>
    <row r="737" ht="15.75" customHeight="1" s="71"/>
    <row r="738" ht="15.75" customHeight="1" s="71"/>
    <row r="739" ht="15.75" customHeight="1" s="71"/>
    <row r="740" ht="15.75" customHeight="1" s="71"/>
    <row r="741" ht="15.75" customHeight="1" s="71"/>
    <row r="742" ht="15.75" customHeight="1" s="71"/>
    <row r="743" ht="15.75" customHeight="1" s="71"/>
    <row r="744" ht="15.75" customHeight="1" s="71"/>
    <row r="745" ht="15.75" customHeight="1" s="71"/>
    <row r="746" ht="15.75" customHeight="1" s="71"/>
    <row r="747" ht="15.75" customHeight="1" s="71"/>
    <row r="748" ht="15.75" customHeight="1" s="71"/>
    <row r="749" ht="15.75" customHeight="1" s="71"/>
    <row r="750" ht="15.75" customHeight="1" s="71"/>
    <row r="751" ht="15.75" customHeight="1" s="71"/>
    <row r="752" ht="15.75" customHeight="1" s="71"/>
    <row r="753" ht="15.75" customHeight="1" s="71"/>
    <row r="754" ht="15.75" customHeight="1" s="71"/>
    <row r="755" ht="15.75" customHeight="1" s="71"/>
    <row r="756" ht="15.75" customHeight="1" s="71"/>
    <row r="757" ht="15.75" customHeight="1" s="71"/>
    <row r="758" ht="15.75" customHeight="1" s="71"/>
    <row r="759" ht="15.75" customHeight="1" s="71"/>
    <row r="760" ht="15.75" customHeight="1" s="71"/>
    <row r="761" ht="15.75" customHeight="1" s="71"/>
    <row r="762" ht="15.75" customHeight="1" s="71"/>
    <row r="763" ht="15.75" customHeight="1" s="71"/>
    <row r="764" ht="15.75" customHeight="1" s="71"/>
    <row r="765" ht="15.75" customHeight="1" s="71"/>
    <row r="766" ht="15.75" customHeight="1" s="71"/>
    <row r="767" ht="15.75" customHeight="1" s="71"/>
    <row r="768" ht="15.75" customHeight="1" s="71"/>
    <row r="769" ht="15.75" customHeight="1" s="71"/>
    <row r="770" ht="15.75" customHeight="1" s="71"/>
    <row r="771" ht="15.75" customHeight="1" s="71"/>
    <row r="772" ht="15.75" customHeight="1" s="71"/>
    <row r="773" ht="15.75" customHeight="1" s="71"/>
    <row r="774" ht="15.75" customHeight="1" s="71"/>
    <row r="775" ht="15.75" customHeight="1" s="71"/>
    <row r="776" ht="15.75" customHeight="1" s="71"/>
    <row r="777" ht="15.75" customHeight="1" s="71"/>
    <row r="778" ht="15.75" customHeight="1" s="71"/>
    <row r="779" ht="15.75" customHeight="1" s="71"/>
    <row r="780" ht="15.75" customHeight="1" s="71"/>
    <row r="781" ht="15.75" customHeight="1" s="71"/>
    <row r="782" ht="15.75" customHeight="1" s="71"/>
    <row r="783" ht="15.75" customHeight="1" s="71"/>
    <row r="784" ht="15.75" customHeight="1" s="71"/>
    <row r="785" ht="15.75" customHeight="1" s="71"/>
    <row r="786" ht="15.75" customHeight="1" s="71"/>
    <row r="787" ht="15.75" customHeight="1" s="71"/>
    <row r="788" ht="15.75" customHeight="1" s="71"/>
    <row r="789" ht="15.75" customHeight="1" s="71"/>
    <row r="790" ht="15.75" customHeight="1" s="71"/>
    <row r="791" ht="15.75" customHeight="1" s="71"/>
    <row r="792" ht="15.75" customHeight="1" s="71"/>
    <row r="793" ht="15.75" customHeight="1" s="71"/>
    <row r="794" ht="15.75" customHeight="1" s="71"/>
    <row r="795" ht="15.75" customHeight="1" s="71"/>
    <row r="796" ht="15.75" customHeight="1" s="71"/>
    <row r="797" ht="15.75" customHeight="1" s="71"/>
    <row r="798" ht="15.75" customHeight="1" s="71"/>
    <row r="799" ht="15.75" customHeight="1" s="71"/>
    <row r="800" ht="15.75" customHeight="1" s="71"/>
    <row r="801" ht="15.75" customHeight="1" s="71"/>
    <row r="802" ht="15.75" customHeight="1" s="71"/>
    <row r="803" ht="15.75" customHeight="1" s="71"/>
    <row r="804" ht="15.75" customHeight="1" s="71"/>
    <row r="805" ht="15.75" customHeight="1" s="71"/>
    <row r="806" ht="15.75" customHeight="1" s="71"/>
    <row r="807" ht="15.75" customHeight="1" s="71"/>
    <row r="808" ht="15.75" customHeight="1" s="71"/>
    <row r="809" ht="15.75" customHeight="1" s="71"/>
    <row r="810" ht="15.75" customHeight="1" s="71"/>
    <row r="811" ht="15.75" customHeight="1" s="71"/>
    <row r="812" ht="15.75" customHeight="1" s="71"/>
    <row r="813" ht="15.75" customHeight="1" s="71"/>
    <row r="814" ht="15.75" customHeight="1" s="71"/>
    <row r="815" ht="15.75" customHeight="1" s="71"/>
    <row r="816" ht="15.75" customHeight="1" s="71"/>
    <row r="817" ht="15.75" customHeight="1" s="71"/>
    <row r="818" ht="15.75" customHeight="1" s="71"/>
    <row r="819" ht="15.75" customHeight="1" s="71"/>
    <row r="820" ht="15.75" customHeight="1" s="71"/>
    <row r="821" ht="15.75" customHeight="1" s="71"/>
    <row r="822" ht="15.75" customHeight="1" s="71"/>
    <row r="823" ht="15.75" customHeight="1" s="71"/>
    <row r="824" ht="15.75" customHeight="1" s="71"/>
    <row r="825" ht="15.75" customHeight="1" s="71"/>
    <row r="826" ht="15.75" customHeight="1" s="71"/>
    <row r="827" ht="15.75" customHeight="1" s="71"/>
    <row r="828" ht="15.75" customHeight="1" s="71"/>
    <row r="829" ht="15.75" customHeight="1" s="71"/>
    <row r="830" ht="15.75" customHeight="1" s="71"/>
    <row r="831" ht="15.75" customHeight="1" s="71"/>
    <row r="832" ht="15.75" customHeight="1" s="71"/>
    <row r="833" ht="15.75" customHeight="1" s="71"/>
    <row r="834" ht="15.75" customHeight="1" s="71"/>
    <row r="835" ht="15.75" customHeight="1" s="71"/>
    <row r="836" ht="15.75" customHeight="1" s="71"/>
    <row r="837" ht="15.75" customHeight="1" s="71"/>
    <row r="838" ht="15.75" customHeight="1" s="71"/>
    <row r="839" ht="15.75" customHeight="1" s="71"/>
    <row r="840" ht="15.75" customHeight="1" s="71"/>
    <row r="841" ht="15.75" customHeight="1" s="71"/>
    <row r="842" ht="15.75" customHeight="1" s="71"/>
    <row r="843" ht="15.75" customHeight="1" s="71"/>
    <row r="844" ht="15.75" customHeight="1" s="71"/>
    <row r="845" ht="15.75" customHeight="1" s="71"/>
    <row r="846" ht="15.75" customHeight="1" s="71"/>
    <row r="847" ht="15.75" customHeight="1" s="71"/>
    <row r="848" ht="15.75" customHeight="1" s="71"/>
    <row r="849" ht="15.75" customHeight="1" s="71"/>
    <row r="850" ht="15.75" customHeight="1" s="71"/>
    <row r="851" ht="15.75" customHeight="1" s="71"/>
    <row r="852" ht="15.75" customHeight="1" s="71"/>
    <row r="853" ht="15.75" customHeight="1" s="71"/>
    <row r="854" ht="15.75" customHeight="1" s="71"/>
    <row r="855" ht="15.75" customHeight="1" s="71"/>
    <row r="856" ht="15.75" customHeight="1" s="71"/>
    <row r="857" ht="15.75" customHeight="1" s="71"/>
    <row r="858" ht="15.75" customHeight="1" s="71"/>
    <row r="859" ht="15.75" customHeight="1" s="71"/>
    <row r="860" ht="15.75" customHeight="1" s="71"/>
    <row r="861" ht="15.75" customHeight="1" s="71"/>
    <row r="862" ht="15.75" customHeight="1" s="71"/>
    <row r="863" ht="15.75" customHeight="1" s="71"/>
    <row r="864" ht="15.75" customHeight="1" s="71"/>
    <row r="865" ht="15.75" customHeight="1" s="71"/>
    <row r="866" ht="15.75" customHeight="1" s="71"/>
    <row r="867" ht="15.75" customHeight="1" s="71"/>
    <row r="868" ht="15.75" customHeight="1" s="71"/>
    <row r="869" ht="15.75" customHeight="1" s="71"/>
    <row r="870" ht="15.75" customHeight="1" s="71"/>
    <row r="871" ht="15.75" customHeight="1" s="71"/>
    <row r="872" ht="15.75" customHeight="1" s="71"/>
    <row r="873" ht="15.75" customHeight="1" s="71"/>
    <row r="874" ht="15.75" customHeight="1" s="71"/>
    <row r="875" ht="15.75" customHeight="1" s="71"/>
    <row r="876" ht="15.75" customHeight="1" s="71"/>
    <row r="877" ht="15.75" customHeight="1" s="71"/>
    <row r="878" ht="15.75" customHeight="1" s="71"/>
    <row r="879" ht="15.75" customHeight="1" s="71"/>
    <row r="880" ht="15.75" customHeight="1" s="71"/>
    <row r="881" ht="15.75" customHeight="1" s="71"/>
    <row r="882" ht="15.75" customHeight="1" s="71"/>
    <row r="883" ht="15.75" customHeight="1" s="71"/>
    <row r="884" ht="15.75" customHeight="1" s="71"/>
    <row r="885" ht="15.75" customHeight="1" s="71"/>
    <row r="886" ht="15.75" customHeight="1" s="71"/>
    <row r="887" ht="15.75" customHeight="1" s="71"/>
    <row r="888" ht="15.75" customHeight="1" s="71"/>
    <row r="889" ht="15.75" customHeight="1" s="71"/>
    <row r="890" ht="15.75" customHeight="1" s="71"/>
    <row r="891" ht="15.75" customHeight="1" s="71"/>
    <row r="892" ht="15.75" customHeight="1" s="71"/>
    <row r="893" ht="15.75" customHeight="1" s="71"/>
    <row r="894" ht="15.75" customHeight="1" s="71"/>
    <row r="895" ht="15.75" customHeight="1" s="71"/>
    <row r="896" ht="15.75" customHeight="1" s="71"/>
    <row r="897" ht="15.75" customHeight="1" s="71"/>
    <row r="898" ht="15.75" customHeight="1" s="71"/>
    <row r="899" ht="15.75" customHeight="1" s="71"/>
    <row r="900" ht="15.75" customHeight="1" s="71"/>
    <row r="901" ht="15.75" customHeight="1" s="71"/>
    <row r="902" ht="15.75" customHeight="1" s="71"/>
    <row r="903" ht="15.75" customHeight="1" s="71"/>
    <row r="904" ht="15.75" customHeight="1" s="71"/>
    <row r="905" ht="15.75" customHeight="1" s="71"/>
    <row r="906" ht="15.75" customHeight="1" s="71"/>
    <row r="907" ht="15.75" customHeight="1" s="71"/>
    <row r="908" ht="15.75" customHeight="1" s="71"/>
    <row r="909" ht="15.75" customHeight="1" s="71"/>
    <row r="910" ht="15.75" customHeight="1" s="71"/>
    <row r="911" ht="15.75" customHeight="1" s="71"/>
    <row r="912" ht="15.75" customHeight="1" s="71"/>
    <row r="913" ht="15.75" customHeight="1" s="71"/>
    <row r="914" ht="15.75" customHeight="1" s="71"/>
    <row r="915" ht="15.75" customHeight="1" s="71"/>
    <row r="916" ht="15.75" customHeight="1" s="71"/>
    <row r="917" ht="15.75" customHeight="1" s="71"/>
    <row r="918" ht="15.75" customHeight="1" s="71"/>
    <row r="919" ht="15.75" customHeight="1" s="71"/>
    <row r="920" ht="15.75" customHeight="1" s="71"/>
    <row r="921" ht="15.75" customHeight="1" s="71"/>
    <row r="922" ht="15.75" customHeight="1" s="71"/>
    <row r="923" ht="15.75" customHeight="1" s="71"/>
    <row r="924" ht="15.75" customHeight="1" s="71"/>
    <row r="925" ht="15.75" customHeight="1" s="71"/>
    <row r="926" ht="15.75" customHeight="1" s="71"/>
    <row r="927" ht="15.75" customHeight="1" s="71"/>
    <row r="928" ht="15.75" customHeight="1" s="71"/>
    <row r="929" ht="15.75" customHeight="1" s="71"/>
    <row r="930" ht="15.75" customHeight="1" s="71"/>
    <row r="931" ht="15.75" customHeight="1" s="71"/>
    <row r="932" ht="15.75" customHeight="1" s="71"/>
    <row r="933" ht="15.75" customHeight="1" s="71"/>
    <row r="934" ht="15.75" customHeight="1" s="71"/>
    <row r="935" ht="15.75" customHeight="1" s="71"/>
    <row r="936" ht="15.75" customHeight="1" s="71"/>
    <row r="937" ht="15.75" customHeight="1" s="71"/>
    <row r="938" ht="15.75" customHeight="1" s="71"/>
    <row r="939" ht="15.75" customHeight="1" s="71"/>
    <row r="940" ht="15.75" customHeight="1" s="71"/>
    <row r="941" ht="15.75" customHeight="1" s="71"/>
    <row r="942" ht="15.75" customHeight="1" s="71"/>
    <row r="943" ht="15.75" customHeight="1" s="71"/>
    <row r="944" ht="15.75" customHeight="1" s="71"/>
    <row r="945" ht="15.75" customHeight="1" s="71"/>
    <row r="946" ht="15.75" customHeight="1" s="71"/>
    <row r="947" ht="15.75" customHeight="1" s="71"/>
    <row r="948" ht="15.75" customHeight="1" s="71"/>
    <row r="949" ht="15.75" customHeight="1" s="71"/>
    <row r="950" ht="15.75" customHeight="1" s="71"/>
    <row r="951" ht="15.75" customHeight="1" s="71"/>
    <row r="952" ht="15.75" customHeight="1" s="71"/>
    <row r="953" ht="15.75" customHeight="1" s="71"/>
    <row r="954" ht="15.75" customHeight="1" s="71"/>
    <row r="955" ht="15.75" customHeight="1" s="71"/>
    <row r="956" ht="15.75" customHeight="1" s="71"/>
    <row r="957" ht="15.75" customHeight="1" s="71"/>
    <row r="958" ht="15.75" customHeight="1" s="71"/>
    <row r="959" ht="15.75" customHeight="1" s="71"/>
    <row r="960" ht="15.75" customHeight="1" s="71"/>
    <row r="961" ht="15.75" customHeight="1" s="71"/>
    <row r="962" ht="15.75" customHeight="1" s="71"/>
    <row r="963" ht="15.75" customHeight="1" s="71"/>
    <row r="964" ht="15.75" customHeight="1" s="71"/>
    <row r="965" ht="15.75" customHeight="1" s="71"/>
    <row r="966" ht="15.75" customHeight="1" s="71"/>
    <row r="967" ht="15.75" customHeight="1" s="71"/>
    <row r="968" ht="15.75" customHeight="1" s="71"/>
    <row r="969" ht="15.75" customHeight="1" s="71"/>
    <row r="970" ht="15.75" customHeight="1" s="71"/>
    <row r="971" ht="15.75" customHeight="1" s="71"/>
    <row r="972" ht="15.75" customHeight="1" s="71"/>
    <row r="973" ht="15.75" customHeight="1" s="71"/>
    <row r="974" ht="15.75" customHeight="1" s="71"/>
    <row r="975" ht="15.75" customHeight="1" s="71"/>
    <row r="976" ht="15.75" customHeight="1" s="71"/>
    <row r="977" ht="15.75" customHeight="1" s="71"/>
    <row r="978" ht="15.75" customHeight="1" s="71"/>
    <row r="979" ht="15.75" customHeight="1" s="71"/>
    <row r="980" ht="15.75" customHeight="1" s="71"/>
    <row r="981" ht="15.75" customHeight="1" s="71"/>
    <row r="982" ht="15.75" customHeight="1" s="71"/>
    <row r="983" ht="15.75" customHeight="1" s="71"/>
    <row r="984" ht="15.75" customHeight="1" s="71"/>
    <row r="985" ht="15.75" customHeight="1" s="71"/>
    <row r="986" ht="15.75" customHeight="1" s="71"/>
    <row r="987" ht="15.75" customHeight="1" s="71"/>
    <row r="988" ht="15.75" customHeight="1" s="71"/>
    <row r="989" ht="15.75" customHeight="1" s="71"/>
    <row r="990" ht="15.75" customHeight="1" s="71"/>
    <row r="991" ht="15.75" customHeight="1" s="71"/>
    <row r="992" ht="15.75" customHeight="1" s="71"/>
    <row r="993" ht="15.75" customHeight="1" s="71"/>
    <row r="994" ht="15.75" customHeight="1" s="71"/>
    <row r="995" ht="15.75" customHeight="1" s="71"/>
    <row r="996" ht="15.75" customHeight="1" s="71"/>
    <row r="997" ht="15.75" customHeight="1" s="71"/>
    <row r="998" ht="15.75" customHeight="1" s="71"/>
    <row r="999" ht="15.75" customHeight="1" s="71"/>
    <row r="1000" ht="15.75" customHeight="1" s="71"/>
  </sheetData>
  <mergeCells count="1051">
    <mergeCell ref="F399:F403"/>
    <mergeCell ref="C232:C236"/>
    <mergeCell ref="E232:E236"/>
    <mergeCell ref="O158:O162"/>
    <mergeCell ref="O345:O349"/>
    <mergeCell ref="Q22:Q26"/>
    <mergeCell ref="C296:C300"/>
    <mergeCell ref="O95:O99"/>
    <mergeCell ref="E369:E373"/>
    <mergeCell ref="E296:E300"/>
    <mergeCell ref="B360:B364"/>
    <mergeCell ref="O76:O80"/>
    <mergeCell ref="G212:G216"/>
    <mergeCell ref="Q409:Q413"/>
    <mergeCell ref="O374:O378"/>
    <mergeCell ref="O257:O261"/>
    <mergeCell ref="O61:O65"/>
    <mergeCell ref="B139:B143"/>
    <mergeCell ref="C128:S128"/>
    <mergeCell ref="Q384:Q388"/>
    <mergeCell ref="E227:E231"/>
    <mergeCell ref="E56:E60"/>
    <mergeCell ref="O153:O157"/>
    <mergeCell ref="G227:G231"/>
    <mergeCell ref="B188:B192"/>
    <mergeCell ref="G56:G60"/>
    <mergeCell ref="Q153:Q157"/>
    <mergeCell ref="Q178:Q182"/>
    <mergeCell ref="S178:S182"/>
    <mergeCell ref="D188:D192"/>
    <mergeCell ref="P212:P216"/>
    <mergeCell ref="Q340:Q344"/>
    <mergeCell ref="B76:B80"/>
    <mergeCell ref="N27:N31"/>
    <mergeCell ref="G120:G124"/>
    <mergeCell ref="Q217:Q221"/>
    <mergeCell ref="Q242:Q246"/>
    <mergeCell ref="S242:S246"/>
    <mergeCell ref="G291:G295"/>
    <mergeCell ref="N281:N285"/>
    <mergeCell ref="P306:P310"/>
    <mergeCell ref="S81:S85"/>
    <mergeCell ref="A269:B269"/>
    <mergeCell ref="P207:P211"/>
    <mergeCell ref="D183:D187"/>
    <mergeCell ref="S379:S383"/>
    <mergeCell ref="R207:R211"/>
    <mergeCell ref="S173:S177"/>
    <mergeCell ref="F183:F187"/>
    <mergeCell ref="N345:N349"/>
    <mergeCell ref="P345:P349"/>
    <mergeCell ref="N22:N26"/>
    <mergeCell ref="P22:P26"/>
    <mergeCell ref="E374:E378"/>
    <mergeCell ref="E17:E21"/>
    <mergeCell ref="F394:F398"/>
    <mergeCell ref="R271:R275"/>
    <mergeCell ref="E153:E157"/>
    <mergeCell ref="A360:A364"/>
    <mergeCell ref="A198:S198"/>
    <mergeCell ref="C311:C315"/>
    <mergeCell ref="E311:E315"/>
    <mergeCell ref="A335:A339"/>
    <mergeCell ref="O212:O216"/>
    <mergeCell ref="O41:O45"/>
    <mergeCell ref="R129:R133"/>
    <mergeCell ref="A39:B39"/>
    <mergeCell ref="C87:S87"/>
    <mergeCell ref="Q193:Q197"/>
    <mergeCell ref="O369:O373"/>
    <mergeCell ref="F66:F70"/>
    <mergeCell ref="G369:G373"/>
    <mergeCell ref="D301:D305"/>
    <mergeCell ref="Q257:Q261"/>
    <mergeCell ref="C89:S89"/>
    <mergeCell ref="A134:A138"/>
    <mergeCell ref="C322:S322"/>
    <mergeCell ref="S384:S388"/>
    <mergeCell ref="G110:G114"/>
    <mergeCell ref="Q207:Q211"/>
    <mergeCell ref="F105:F109"/>
    <mergeCell ref="Q163:Q167"/>
    <mergeCell ref="C88:S88"/>
    <mergeCell ref="S163:S167"/>
    <mergeCell ref="B374:B378"/>
    <mergeCell ref="A128:B128"/>
    <mergeCell ref="F61:F65"/>
    <mergeCell ref="A202:A206"/>
    <mergeCell ref="P227:P231"/>
    <mergeCell ref="B51:B55"/>
    <mergeCell ref="C324:S324"/>
    <mergeCell ref="N325:N329"/>
    <mergeCell ref="D51:D55"/>
    <mergeCell ref="B163:B167"/>
    <mergeCell ref="R291:R295"/>
    <mergeCell ref="N193:N197"/>
    <mergeCell ref="C306:C310"/>
    <mergeCell ref="P222:P226"/>
    <mergeCell ref="P193:P197"/>
    <mergeCell ref="R222:R226"/>
    <mergeCell ref="O148:O152"/>
    <mergeCell ref="S217:S221"/>
    <mergeCell ref="N414:N418"/>
    <mergeCell ref="B232:B236"/>
    <mergeCell ref="R286:R290"/>
    <mergeCell ref="C335:C339"/>
    <mergeCell ref="G355:G359"/>
    <mergeCell ref="A330:A334"/>
    <mergeCell ref="C330:C334"/>
    <mergeCell ref="C134:C138"/>
    <mergeCell ref="D296:D300"/>
    <mergeCell ref="F247:F251"/>
    <mergeCell ref="O202:O206"/>
    <mergeCell ref="P409:P413"/>
    <mergeCell ref="Q202:Q206"/>
    <mergeCell ref="N61:N65"/>
    <mergeCell ref="A270:B270"/>
    <mergeCell ref="A139:A143"/>
    <mergeCell ref="R409:R413"/>
    <mergeCell ref="A368:B368"/>
    <mergeCell ref="F262:F266"/>
    <mergeCell ref="P384:P388"/>
    <mergeCell ref="C90:C94"/>
    <mergeCell ref="D56:D60"/>
    <mergeCell ref="C139:C143"/>
    <mergeCell ref="E90:E94"/>
    <mergeCell ref="C17:C21"/>
    <mergeCell ref="F56:F60"/>
    <mergeCell ref="A188:A192"/>
    <mergeCell ref="C188:C192"/>
    <mergeCell ref="D193:D197"/>
    <mergeCell ref="A76:A80"/>
    <mergeCell ref="D6:D11"/>
    <mergeCell ref="O301:O305"/>
    <mergeCell ref="C27:C31"/>
    <mergeCell ref="F6:F11"/>
    <mergeCell ref="B379:B383"/>
    <mergeCell ref="E27:E31"/>
    <mergeCell ref="O276:O280"/>
    <mergeCell ref="F120:F124"/>
    <mergeCell ref="E325:E329"/>
    <mergeCell ref="Q105:Q109"/>
    <mergeCell ref="B158:B162"/>
    <mergeCell ref="Q276:Q280"/>
    <mergeCell ref="B316:B320"/>
    <mergeCell ref="O414:O418"/>
    <mergeCell ref="R81:R85"/>
    <mergeCell ref="B95:B99"/>
    <mergeCell ref="E389:E393"/>
    <mergeCell ref="S311:S315"/>
    <mergeCell ref="G389:G393"/>
    <mergeCell ref="E12:E16"/>
    <mergeCell ref="E183:E187"/>
    <mergeCell ref="G12:G16"/>
    <mergeCell ref="G183:G187"/>
    <mergeCell ref="D374:D378"/>
    <mergeCell ref="E394:E398"/>
    <mergeCell ref="Q271:Q275"/>
    <mergeCell ref="E247:E251"/>
    <mergeCell ref="Q100:Q104"/>
    <mergeCell ref="S100:S104"/>
    <mergeCell ref="D153:D157"/>
    <mergeCell ref="C201:S201"/>
    <mergeCell ref="G247:G251"/>
    <mergeCell ref="S271:S275"/>
    <mergeCell ref="B311:B315"/>
    <mergeCell ref="D311:D315"/>
    <mergeCell ref="N66:N70"/>
    <mergeCell ref="A350:A354"/>
    <mergeCell ref="Q115:Q119"/>
    <mergeCell ref="B90:B94"/>
    <mergeCell ref="P389:P393"/>
    <mergeCell ref="N41:N45"/>
    <mergeCell ref="D90:D94"/>
    <mergeCell ref="N212:N216"/>
    <mergeCell ref="P41:P45"/>
    <mergeCell ref="D217:D221"/>
    <mergeCell ref="F217:F221"/>
    <mergeCell ref="A281:A285"/>
    <mergeCell ref="A200:B200"/>
    <mergeCell ref="A4:B4"/>
    <mergeCell ref="C281:C285"/>
    <mergeCell ref="D369:D373"/>
    <mergeCell ref="A379:A383"/>
    <mergeCell ref="R399:R403"/>
    <mergeCell ref="F369:F373"/>
    <mergeCell ref="N105:N109"/>
    <mergeCell ref="N276:N280"/>
    <mergeCell ref="P105:P109"/>
    <mergeCell ref="P276:P280"/>
    <mergeCell ref="A345:A349"/>
    <mergeCell ref="A316:A320"/>
    <mergeCell ref="C345:C349"/>
    <mergeCell ref="P257:P261"/>
    <mergeCell ref="O296:O300"/>
    <mergeCell ref="R257:R261"/>
    <mergeCell ref="C22:C26"/>
    <mergeCell ref="A46:A50"/>
    <mergeCell ref="R384:R388"/>
    <mergeCell ref="F110:F114"/>
    <mergeCell ref="B148:B152"/>
    <mergeCell ref="R163:R167"/>
    <mergeCell ref="C76:C80"/>
    <mergeCell ref="A105:A109"/>
    <mergeCell ref="O56:O60"/>
    <mergeCell ref="O227:O231"/>
    <mergeCell ref="A374:A378"/>
    <mergeCell ref="E399:E403"/>
    <mergeCell ref="C51:C55"/>
    <mergeCell ref="R100:R104"/>
    <mergeCell ref="D212:D216"/>
    <mergeCell ref="O6:O11"/>
    <mergeCell ref="G129:G133"/>
    <mergeCell ref="O291:O295"/>
    <mergeCell ref="E340:E344"/>
    <mergeCell ref="Q120:Q124"/>
    <mergeCell ref="Q291:Q295"/>
    <mergeCell ref="G340:G344"/>
    <mergeCell ref="O389:O393"/>
    <mergeCell ref="B306:B310"/>
    <mergeCell ref="Q222:Q226"/>
    <mergeCell ref="Q355:Q359"/>
    <mergeCell ref="E81:E85"/>
    <mergeCell ref="C147:S147"/>
    <mergeCell ref="P183:P187"/>
    <mergeCell ref="F257:F261"/>
    <mergeCell ref="N183:N187"/>
    <mergeCell ref="S222:S226"/>
    <mergeCell ref="D207:D211"/>
    <mergeCell ref="S355:S359"/>
    <mergeCell ref="F207:F211"/>
    <mergeCell ref="G173:G177"/>
    <mergeCell ref="N394:N398"/>
    <mergeCell ref="P394:P398"/>
    <mergeCell ref="Q286:Q290"/>
    <mergeCell ref="C40:S40"/>
    <mergeCell ref="S115:S119"/>
    <mergeCell ref="P247:P251"/>
    <mergeCell ref="S286:S290"/>
    <mergeCell ref="A148:A152"/>
    <mergeCell ref="B32:B36"/>
    <mergeCell ref="N56:N60"/>
    <mergeCell ref="B134:B138"/>
    <mergeCell ref="F252:F256"/>
    <mergeCell ref="P56:P60"/>
    <mergeCell ref="P178:P182"/>
    <mergeCell ref="S350:S354"/>
    <mergeCell ref="R178:R182"/>
    <mergeCell ref="N227:N231"/>
    <mergeCell ref="S27:S31"/>
    <mergeCell ref="F202:F206"/>
    <mergeCell ref="A193:A197"/>
    <mergeCell ref="E262:E266"/>
    <mergeCell ref="C193:C197"/>
    <mergeCell ref="G262:G266"/>
    <mergeCell ref="B17:B21"/>
    <mergeCell ref="A369:A373"/>
    <mergeCell ref="R242:R246"/>
    <mergeCell ref="D17:D21"/>
    <mergeCell ref="A323:B323"/>
    <mergeCell ref="A365:S365"/>
    <mergeCell ref="D27:D31"/>
    <mergeCell ref="C257:C261"/>
    <mergeCell ref="E257:E261"/>
    <mergeCell ref="A158:A162"/>
    <mergeCell ref="O394:O398"/>
    <mergeCell ref="A95:A99"/>
    <mergeCell ref="R311:R315"/>
    <mergeCell ref="C46:C50"/>
    <mergeCell ref="D12:D16"/>
    <mergeCell ref="D227:D231"/>
    <mergeCell ref="E46:E50"/>
    <mergeCell ref="C409:C413"/>
    <mergeCell ref="E409:E413"/>
    <mergeCell ref="A32:A36"/>
    <mergeCell ref="C153:C157"/>
    <mergeCell ref="S281:S285"/>
    <mergeCell ref="N207:N211"/>
    <mergeCell ref="N173:N177"/>
    <mergeCell ref="D222:D226"/>
    <mergeCell ref="C217:C221"/>
    <mergeCell ref="P173:P177"/>
    <mergeCell ref="C270:S270"/>
    <mergeCell ref="E217:E221"/>
    <mergeCell ref="Q345:Q349"/>
    <mergeCell ref="P271:P275"/>
    <mergeCell ref="B414:B418"/>
    <mergeCell ref="E404:E408"/>
    <mergeCell ref="B281:B285"/>
    <mergeCell ref="G404:G408"/>
    <mergeCell ref="B330:B334"/>
    <mergeCell ref="N110:N114"/>
    <mergeCell ref="D330:D334"/>
    <mergeCell ref="G81:G85"/>
    <mergeCell ref="P110:P114"/>
    <mergeCell ref="O105:O109"/>
    <mergeCell ref="P237:P241"/>
    <mergeCell ref="G379:G383"/>
    <mergeCell ref="Q134:Q138"/>
    <mergeCell ref="S134:S138"/>
    <mergeCell ref="B345:B349"/>
    <mergeCell ref="N296:N300"/>
    <mergeCell ref="D345:D349"/>
    <mergeCell ref="B22:B26"/>
    <mergeCell ref="F296:F300"/>
    <mergeCell ref="Q71:Q75"/>
    <mergeCell ref="B46:B50"/>
    <mergeCell ref="R168:R172"/>
    <mergeCell ref="G237:G241"/>
    <mergeCell ref="F271:F275"/>
    <mergeCell ref="B409:B413"/>
    <mergeCell ref="P262:P266"/>
    <mergeCell ref="A66:A70"/>
    <mergeCell ref="A237:A241"/>
    <mergeCell ref="D409:D413"/>
    <mergeCell ref="D384:D388"/>
    <mergeCell ref="A212:A216"/>
    <mergeCell ref="C212:C216"/>
    <mergeCell ref="N6:N11"/>
    <mergeCell ref="F129:F133"/>
    <mergeCell ref="N291:N295"/>
    <mergeCell ref="A301:A305"/>
    <mergeCell ref="O325:O329"/>
    <mergeCell ref="P120:P124"/>
    <mergeCell ref="P291:P295"/>
    <mergeCell ref="C301:C305"/>
    <mergeCell ref="D340:D344"/>
    <mergeCell ref="F340:F344"/>
    <mergeCell ref="Q394:Q398"/>
    <mergeCell ref="S66:S70"/>
    <mergeCell ref="C276:C280"/>
    <mergeCell ref="A306:A310"/>
    <mergeCell ref="A321:S321"/>
    <mergeCell ref="Q360:Q364"/>
    <mergeCell ref="F404:F408"/>
    <mergeCell ref="C61:C65"/>
    <mergeCell ref="P355:P359"/>
    <mergeCell ref="S360:S364"/>
    <mergeCell ref="O12:O16"/>
    <mergeCell ref="E61:E65"/>
    <mergeCell ref="F81:F85"/>
    <mergeCell ref="O183:O187"/>
    <mergeCell ref="R355:R359"/>
    <mergeCell ref="C207:C211"/>
    <mergeCell ref="P134:P138"/>
    <mergeCell ref="S335:S339"/>
    <mergeCell ref="E207:E211"/>
    <mergeCell ref="R134:R138"/>
    <mergeCell ref="G384:G388"/>
    <mergeCell ref="A87:B87"/>
    <mergeCell ref="A22:A26"/>
    <mergeCell ref="R115:R119"/>
    <mergeCell ref="O247:O251"/>
    <mergeCell ref="Q247:Q251"/>
    <mergeCell ref="E100:E104"/>
    <mergeCell ref="E271:E275"/>
    <mergeCell ref="S193:S197"/>
    <mergeCell ref="G100:G104"/>
    <mergeCell ref="B335:B339"/>
    <mergeCell ref="O262:O266"/>
    <mergeCell ref="D335:D339"/>
    <mergeCell ref="N90:N94"/>
    <mergeCell ref="A89:B89"/>
    <mergeCell ref="O178:O182"/>
    <mergeCell ref="N217:N221"/>
    <mergeCell ref="G252:G256"/>
    <mergeCell ref="Q262:Q266"/>
    <mergeCell ref="D389:D393"/>
    <mergeCell ref="B41:B45"/>
    <mergeCell ref="G202:G206"/>
    <mergeCell ref="E129:E133"/>
    <mergeCell ref="B399:B403"/>
    <mergeCell ref="G158:G162"/>
    <mergeCell ref="D399:D403"/>
    <mergeCell ref="B193:B197"/>
    <mergeCell ref="O120:O124"/>
    <mergeCell ref="A232:A236"/>
    <mergeCell ref="D22:D26"/>
    <mergeCell ref="G316:G320"/>
    <mergeCell ref="F222:F226"/>
    <mergeCell ref="S71:S75"/>
    <mergeCell ref="S46:S50"/>
    <mergeCell ref="A296:A300"/>
    <mergeCell ref="D257:D261"/>
    <mergeCell ref="N12:N16"/>
    <mergeCell ref="F286:F290"/>
    <mergeCell ref="F384:F388"/>
    <mergeCell ref="A227:A231"/>
    <mergeCell ref="A27:A31"/>
    <mergeCell ref="E51:E55"/>
    <mergeCell ref="C56:C60"/>
    <mergeCell ref="C227:C231"/>
    <mergeCell ref="E276:E280"/>
    <mergeCell ref="O340:O344"/>
    <mergeCell ref="A2:S2"/>
    <mergeCell ref="C120:C124"/>
    <mergeCell ref="P281:P285"/>
    <mergeCell ref="C291:C295"/>
    <mergeCell ref="R232:R236"/>
    <mergeCell ref="C367:S367"/>
    <mergeCell ref="G207:G211"/>
    <mergeCell ref="Q404:Q408"/>
    <mergeCell ref="Q81:Q85"/>
    <mergeCell ref="C222:C226"/>
    <mergeCell ref="Q379:Q383"/>
    <mergeCell ref="O173:O177"/>
    <mergeCell ref="B183:B187"/>
    <mergeCell ref="E222:E226"/>
    <mergeCell ref="Q173:Q177"/>
    <mergeCell ref="G222:G226"/>
    <mergeCell ref="R345:R349"/>
    <mergeCell ref="A414:A418"/>
    <mergeCell ref="A125:S125"/>
    <mergeCell ref="G271:G275"/>
    <mergeCell ref="O316:O320"/>
    <mergeCell ref="A17:A21"/>
    <mergeCell ref="O110:O114"/>
    <mergeCell ref="Q110:Q114"/>
    <mergeCell ref="O237:O241"/>
    <mergeCell ref="S139:S143"/>
    <mergeCell ref="Q237:Q241"/>
    <mergeCell ref="B212:B216"/>
    <mergeCell ref="C368:S368"/>
    <mergeCell ref="S237:S241"/>
    <mergeCell ref="Q76:Q80"/>
    <mergeCell ref="P71:P75"/>
    <mergeCell ref="S76:S80"/>
    <mergeCell ref="P202:P206"/>
    <mergeCell ref="N129:N133"/>
    <mergeCell ref="Q168:Q172"/>
    <mergeCell ref="D178:D182"/>
    <mergeCell ref="P129:P133"/>
    <mergeCell ref="S168:S172"/>
    <mergeCell ref="R202:R206"/>
    <mergeCell ref="S374:S378"/>
    <mergeCell ref="A3:B3"/>
    <mergeCell ref="B66:B70"/>
    <mergeCell ref="B237:B241"/>
    <mergeCell ref="C369:C373"/>
    <mergeCell ref="A5:B5"/>
    <mergeCell ref="S61:S65"/>
    <mergeCell ref="S232:S236"/>
    <mergeCell ref="E6:E11"/>
    <mergeCell ref="G6:G11"/>
    <mergeCell ref="B301:B305"/>
    <mergeCell ref="B276:B280"/>
    <mergeCell ref="O207:O211"/>
    <mergeCell ref="E202:E206"/>
    <mergeCell ref="P360:P364"/>
    <mergeCell ref="B61:B65"/>
    <mergeCell ref="R360:R364"/>
    <mergeCell ref="N389:N393"/>
    <mergeCell ref="D61:D65"/>
    <mergeCell ref="R335:R339"/>
    <mergeCell ref="A267:S267"/>
    <mergeCell ref="O252:O256"/>
    <mergeCell ref="N247:N251"/>
    <mergeCell ref="Q252:Q256"/>
    <mergeCell ref="A12:A16"/>
    <mergeCell ref="F100:F104"/>
    <mergeCell ref="N262:N266"/>
    <mergeCell ref="Q316:Q320"/>
    <mergeCell ref="A389:A393"/>
    <mergeCell ref="E291:E295"/>
    <mergeCell ref="O217:O221"/>
    <mergeCell ref="C399:C403"/>
    <mergeCell ref="C355:C359"/>
    <mergeCell ref="E355:E359"/>
    <mergeCell ref="R71:R75"/>
    <mergeCell ref="S51:S55"/>
    <mergeCell ref="E134:E138"/>
    <mergeCell ref="R46:R50"/>
    <mergeCell ref="G134:G138"/>
    <mergeCell ref="B296:B300"/>
    <mergeCell ref="E115:E119"/>
    <mergeCell ref="E286:E290"/>
    <mergeCell ref="G115:G119"/>
    <mergeCell ref="D247:D251"/>
    <mergeCell ref="G286:G290"/>
    <mergeCell ref="N409:N413"/>
    <mergeCell ref="D262:D266"/>
    <mergeCell ref="B56:B60"/>
    <mergeCell ref="B227:B231"/>
    <mergeCell ref="Q301:Q305"/>
    <mergeCell ref="G350:G354"/>
    <mergeCell ref="F178:F182"/>
    <mergeCell ref="D276:D280"/>
    <mergeCell ref="S301:S305"/>
    <mergeCell ref="N340:N344"/>
    <mergeCell ref="A325:A329"/>
    <mergeCell ref="B120:B124"/>
    <mergeCell ref="B291:B295"/>
    <mergeCell ref="G414:G418"/>
    <mergeCell ref="D120:D124"/>
    <mergeCell ref="D242:D246"/>
    <mergeCell ref="D291:D295"/>
    <mergeCell ref="F242:F246"/>
    <mergeCell ref="N404:N408"/>
    <mergeCell ref="S17:S21"/>
    <mergeCell ref="P404:P408"/>
    <mergeCell ref="N81:N85"/>
    <mergeCell ref="P81:P85"/>
    <mergeCell ref="C389:C393"/>
    <mergeCell ref="A183:A187"/>
    <mergeCell ref="C12:C16"/>
    <mergeCell ref="F173:F177"/>
    <mergeCell ref="C183:C187"/>
    <mergeCell ref="C394:C398"/>
    <mergeCell ref="A247:A251"/>
    <mergeCell ref="R139:R143"/>
    <mergeCell ref="F115:F119"/>
    <mergeCell ref="C247:C251"/>
    <mergeCell ref="O271:O275"/>
    <mergeCell ref="R188:R192"/>
    <mergeCell ref="S369:S373"/>
    <mergeCell ref="R76:R80"/>
    <mergeCell ref="R374:R378"/>
    <mergeCell ref="C178:C182"/>
    <mergeCell ref="B217:B221"/>
    <mergeCell ref="O129:O133"/>
    <mergeCell ref="E178:E182"/>
    <mergeCell ref="F27:F31"/>
    <mergeCell ref="Q129:Q133"/>
    <mergeCell ref="N399:N403"/>
    <mergeCell ref="S158:S162"/>
    <mergeCell ref="B369:B373"/>
    <mergeCell ref="Q95:Q99"/>
    <mergeCell ref="R61:R65"/>
    <mergeCell ref="S95:S99"/>
    <mergeCell ref="N257:N261"/>
    <mergeCell ref="O81:O85"/>
    <mergeCell ref="N384:N388"/>
    <mergeCell ref="B110:B114"/>
    <mergeCell ref="Q32:Q36"/>
    <mergeCell ref="D110:D114"/>
    <mergeCell ref="S32:S36"/>
    <mergeCell ref="Q330:Q334"/>
    <mergeCell ref="N163:N167"/>
    <mergeCell ref="S330:S334"/>
    <mergeCell ref="C127:S127"/>
    <mergeCell ref="S153:S157"/>
    <mergeCell ref="P163:P167"/>
    <mergeCell ref="C325:C329"/>
    <mergeCell ref="A51:A55"/>
    <mergeCell ref="E71:E75"/>
    <mergeCell ref="N100:N104"/>
    <mergeCell ref="Q139:Q143"/>
    <mergeCell ref="S90:S94"/>
    <mergeCell ref="N271:N275"/>
    <mergeCell ref="F168:F172"/>
    <mergeCell ref="S188:S192"/>
    <mergeCell ref="A340:A344"/>
    <mergeCell ref="A126:B126"/>
    <mergeCell ref="N252:N256"/>
    <mergeCell ref="C340:C344"/>
    <mergeCell ref="P252:P256"/>
    <mergeCell ref="R281:R285"/>
    <mergeCell ref="A324:B324"/>
    <mergeCell ref="P379:P383"/>
    <mergeCell ref="R379:R383"/>
    <mergeCell ref="F232:F236"/>
    <mergeCell ref="P158:P162"/>
    <mergeCell ref="R158:R162"/>
    <mergeCell ref="F330:F334"/>
    <mergeCell ref="P316:P320"/>
    <mergeCell ref="O222:O226"/>
    <mergeCell ref="R316:R320"/>
    <mergeCell ref="O355:O359"/>
    <mergeCell ref="C38:S38"/>
    <mergeCell ref="R193:R197"/>
    <mergeCell ref="G66:G70"/>
    <mergeCell ref="P95:P99"/>
    <mergeCell ref="C173:C177"/>
    <mergeCell ref="E173:E177"/>
    <mergeCell ref="E360:E364"/>
    <mergeCell ref="O286:O290"/>
    <mergeCell ref="D355:D359"/>
    <mergeCell ref="G360:G364"/>
    <mergeCell ref="F355:F359"/>
    <mergeCell ref="O384:O388"/>
    <mergeCell ref="R51:R55"/>
    <mergeCell ref="D134:D138"/>
    <mergeCell ref="G139:G143"/>
    <mergeCell ref="N120:N124"/>
    <mergeCell ref="G188:G192"/>
    <mergeCell ref="O350:O354"/>
    <mergeCell ref="N178:N182"/>
    <mergeCell ref="O27:O31"/>
    <mergeCell ref="Q27:Q31"/>
    <mergeCell ref="C269:S269"/>
    <mergeCell ref="D202:D206"/>
    <mergeCell ref="E168:E172"/>
    <mergeCell ref="Q325:Q329"/>
    <mergeCell ref="A262:A266"/>
    <mergeCell ref="G168:G172"/>
    <mergeCell ref="C262:C266"/>
    <mergeCell ref="Q306:Q310"/>
    <mergeCell ref="Q281:Q285"/>
    <mergeCell ref="F350:F354"/>
    <mergeCell ref="S306:S310"/>
    <mergeCell ref="P242:P246"/>
    <mergeCell ref="O379:O383"/>
    <mergeCell ref="E384:E388"/>
    <mergeCell ref="A268:B268"/>
    <mergeCell ref="A6:A11"/>
    <mergeCell ref="Q183:Q187"/>
    <mergeCell ref="A366:B366"/>
    <mergeCell ref="N222:N226"/>
    <mergeCell ref="A145:B145"/>
    <mergeCell ref="E242:E246"/>
    <mergeCell ref="G71:G75"/>
    <mergeCell ref="S22:S26"/>
    <mergeCell ref="G242:G246"/>
    <mergeCell ref="O404:O408"/>
    <mergeCell ref="P148:P152"/>
    <mergeCell ref="R148:R152"/>
    <mergeCell ref="N311:N315"/>
    <mergeCell ref="B389:B393"/>
    <mergeCell ref="P311:P315"/>
    <mergeCell ref="B12:B16"/>
    <mergeCell ref="R212:R216"/>
    <mergeCell ref="A252:A256"/>
    <mergeCell ref="B247:B251"/>
    <mergeCell ref="P100:P104"/>
    <mergeCell ref="A153:A157"/>
    <mergeCell ref="R369:R373"/>
    <mergeCell ref="B262:B266"/>
    <mergeCell ref="A41:A45"/>
    <mergeCell ref="A90:A94"/>
    <mergeCell ref="R306:R310"/>
    <mergeCell ref="C41:C45"/>
    <mergeCell ref="C199:S199"/>
    <mergeCell ref="A217:A221"/>
    <mergeCell ref="A86:S86"/>
    <mergeCell ref="F134:F138"/>
    <mergeCell ref="C404:C408"/>
    <mergeCell ref="A56:A60"/>
    <mergeCell ref="C105:C109"/>
    <mergeCell ref="D71:D75"/>
    <mergeCell ref="R95:R99"/>
    <mergeCell ref="F71:F75"/>
    <mergeCell ref="E105:E109"/>
    <mergeCell ref="N202:N206"/>
    <mergeCell ref="C323:S323"/>
    <mergeCell ref="S325:S329"/>
    <mergeCell ref="A144:S144"/>
    <mergeCell ref="F46:F50"/>
    <mergeCell ref="P32:P36"/>
    <mergeCell ref="C110:C114"/>
    <mergeCell ref="R32:R36"/>
    <mergeCell ref="N168:N172"/>
    <mergeCell ref="E110:E114"/>
    <mergeCell ref="R330:R334"/>
    <mergeCell ref="P168:P172"/>
    <mergeCell ref="E163:E167"/>
    <mergeCell ref="O163:O167"/>
    <mergeCell ref="A367:B367"/>
    <mergeCell ref="G163:G167"/>
    <mergeCell ref="Q350:Q354"/>
    <mergeCell ref="B325:B329"/>
    <mergeCell ref="E76:E80"/>
    <mergeCell ref="G76:G80"/>
    <mergeCell ref="O100:O104"/>
    <mergeCell ref="B129:B133"/>
    <mergeCell ref="D129:D133"/>
    <mergeCell ref="B340:B344"/>
    <mergeCell ref="Q414:Q418"/>
    <mergeCell ref="C146:S146"/>
    <mergeCell ref="O66:O70"/>
    <mergeCell ref="S414:S418"/>
    <mergeCell ref="A276:A280"/>
    <mergeCell ref="G232:G236"/>
    <mergeCell ref="Q158:Q162"/>
    <mergeCell ref="B404:B408"/>
    <mergeCell ref="A257:A261"/>
    <mergeCell ref="A61:A65"/>
    <mergeCell ref="N355:N359"/>
    <mergeCell ref="B81:B85"/>
    <mergeCell ref="S345:S349"/>
    <mergeCell ref="D81:D85"/>
    <mergeCell ref="A207:A211"/>
    <mergeCell ref="Q335:Q339"/>
    <mergeCell ref="G296:G300"/>
    <mergeCell ref="D360:D364"/>
    <mergeCell ref="N115:N119"/>
    <mergeCell ref="N286:N290"/>
    <mergeCell ref="F360:F364"/>
    <mergeCell ref="P286:P290"/>
    <mergeCell ref="A38:B38"/>
    <mergeCell ref="S409:S413"/>
    <mergeCell ref="A147:B147"/>
    <mergeCell ref="R237:R241"/>
    <mergeCell ref="D139:D143"/>
    <mergeCell ref="A271:A275"/>
    <mergeCell ref="P115:P119"/>
    <mergeCell ref="C100:C104"/>
    <mergeCell ref="F139:F143"/>
    <mergeCell ref="C271:C275"/>
    <mergeCell ref="F188:F192"/>
    <mergeCell ref="N350:N354"/>
    <mergeCell ref="C252:C256"/>
    <mergeCell ref="P350:P354"/>
    <mergeCell ref="E252:E256"/>
    <mergeCell ref="R350:R354"/>
    <mergeCell ref="A40:B40"/>
    <mergeCell ref="R301:R305"/>
    <mergeCell ref="D76:D80"/>
    <mergeCell ref="E379:E383"/>
    <mergeCell ref="P27:P31"/>
    <mergeCell ref="F76:F80"/>
    <mergeCell ref="R27:R31"/>
    <mergeCell ref="P325:P329"/>
    <mergeCell ref="A129:A133"/>
    <mergeCell ref="R276:R280"/>
    <mergeCell ref="C202:C206"/>
    <mergeCell ref="C129:C133"/>
    <mergeCell ref="E158:E162"/>
    <mergeCell ref="C316:C320"/>
    <mergeCell ref="E316:E320"/>
    <mergeCell ref="O71:O75"/>
    <mergeCell ref="O242:O246"/>
    <mergeCell ref="C95:C99"/>
    <mergeCell ref="E95:E99"/>
    <mergeCell ref="O46:O50"/>
    <mergeCell ref="R389:R393"/>
    <mergeCell ref="Q46:Q50"/>
    <mergeCell ref="A146:B146"/>
    <mergeCell ref="B257:B261"/>
    <mergeCell ref="B384:B388"/>
    <mergeCell ref="R22:R26"/>
    <mergeCell ref="G374:G378"/>
    <mergeCell ref="G51:G55"/>
    <mergeCell ref="Q148:Q152"/>
    <mergeCell ref="B394:B398"/>
    <mergeCell ref="G153:G157"/>
    <mergeCell ref="C360:C364"/>
    <mergeCell ref="D394:D398"/>
    <mergeCell ref="C200:S200"/>
    <mergeCell ref="C4:S4"/>
    <mergeCell ref="O115:O119"/>
    <mergeCell ref="G311:G315"/>
    <mergeCell ref="Q66:Q70"/>
    <mergeCell ref="S340:S344"/>
    <mergeCell ref="O90:O94"/>
    <mergeCell ref="Q41:Q45"/>
    <mergeCell ref="G90:G94"/>
    <mergeCell ref="Q212:Q216"/>
    <mergeCell ref="S212:S216"/>
    <mergeCell ref="S41:S45"/>
    <mergeCell ref="B252:B256"/>
    <mergeCell ref="S399:S403"/>
    <mergeCell ref="D252:D256"/>
    <mergeCell ref="P232:P236"/>
    <mergeCell ref="F281:F285"/>
    <mergeCell ref="D379:D383"/>
    <mergeCell ref="Q56:Q60"/>
    <mergeCell ref="P330:P334"/>
    <mergeCell ref="F379:F383"/>
    <mergeCell ref="S404:S408"/>
    <mergeCell ref="S276:S280"/>
    <mergeCell ref="A222:A226"/>
    <mergeCell ref="S257:S261"/>
    <mergeCell ref="R296:R300"/>
    <mergeCell ref="D404:D408"/>
    <mergeCell ref="C268:S268"/>
    <mergeCell ref="B105:B109"/>
    <mergeCell ref="N134:N138"/>
    <mergeCell ref="D105:D109"/>
    <mergeCell ref="R227:R231"/>
    <mergeCell ref="F374:F378"/>
    <mergeCell ref="A199:B199"/>
    <mergeCell ref="R325:R329"/>
    <mergeCell ref="F51:F55"/>
    <mergeCell ref="P340:P344"/>
    <mergeCell ref="R340:R344"/>
    <mergeCell ref="O168:O172"/>
    <mergeCell ref="D163:D167"/>
    <mergeCell ref="F163:F167"/>
    <mergeCell ref="A409:A413"/>
    <mergeCell ref="E306:E310"/>
    <mergeCell ref="O232:O236"/>
    <mergeCell ref="G306:G310"/>
    <mergeCell ref="Q232:Q236"/>
    <mergeCell ref="C6:C11"/>
    <mergeCell ref="Q61:Q65"/>
    <mergeCell ref="A88:B88"/>
    <mergeCell ref="S148:S152"/>
    <mergeCell ref="P414:P418"/>
    <mergeCell ref="E120:E124"/>
    <mergeCell ref="R414:R418"/>
    <mergeCell ref="C126:S126"/>
    <mergeCell ref="Q369:Q373"/>
    <mergeCell ref="R17:R21"/>
    <mergeCell ref="S394:S398"/>
    <mergeCell ref="G95:G99"/>
    <mergeCell ref="A404:A408"/>
    <mergeCell ref="N360:N364"/>
    <mergeCell ref="A81:A85"/>
    <mergeCell ref="C32:C36"/>
    <mergeCell ref="N335:N339"/>
    <mergeCell ref="E32:E36"/>
    <mergeCell ref="P335:P339"/>
    <mergeCell ref="G32:G36"/>
    <mergeCell ref="Q227:Q231"/>
    <mergeCell ref="S252:S256"/>
    <mergeCell ref="S56:S60"/>
    <mergeCell ref="S227:S231"/>
    <mergeCell ref="E330:E334"/>
    <mergeCell ref="S202:S206"/>
    <mergeCell ref="P399:P403"/>
    <mergeCell ref="B100:B104"/>
    <mergeCell ref="E139:E143"/>
    <mergeCell ref="F193:F197"/>
    <mergeCell ref="D100:D104"/>
    <mergeCell ref="E188:E192"/>
    <mergeCell ref="S316:S320"/>
    <mergeCell ref="G217:G221"/>
    <mergeCell ref="G17:G21"/>
    <mergeCell ref="A291:A295"/>
    <mergeCell ref="F389:F393"/>
    <mergeCell ref="G27:G31"/>
    <mergeCell ref="B202:B206"/>
    <mergeCell ref="S105:S109"/>
    <mergeCell ref="D158:D162"/>
    <mergeCell ref="A399:A403"/>
    <mergeCell ref="C39:S39"/>
    <mergeCell ref="F158:F162"/>
    <mergeCell ref="A355:A359"/>
    <mergeCell ref="D316:D320"/>
    <mergeCell ref="N71:N75"/>
    <mergeCell ref="N242:N246"/>
    <mergeCell ref="F316:F320"/>
    <mergeCell ref="Q374:Q378"/>
    <mergeCell ref="S120:S124"/>
    <mergeCell ref="N46:N50"/>
    <mergeCell ref="Q51:Q55"/>
    <mergeCell ref="D95:D99"/>
    <mergeCell ref="P46:P50"/>
    <mergeCell ref="F95:F99"/>
    <mergeCell ref="A286:A290"/>
    <mergeCell ref="C115:C119"/>
    <mergeCell ref="C286:C290"/>
    <mergeCell ref="C366:S366"/>
    <mergeCell ref="A384:A388"/>
    <mergeCell ref="D32:D36"/>
    <mergeCell ref="F32:F36"/>
    <mergeCell ref="R12:R16"/>
    <mergeCell ref="A163:A167"/>
    <mergeCell ref="C145:S145"/>
    <mergeCell ref="A394:A398"/>
    <mergeCell ref="F153:F157"/>
    <mergeCell ref="C163:C167"/>
    <mergeCell ref="C350:C354"/>
    <mergeCell ref="F311:F315"/>
    <mergeCell ref="S207:S211"/>
    <mergeCell ref="B178:B182"/>
    <mergeCell ref="E350:E354"/>
    <mergeCell ref="R66:R70"/>
    <mergeCell ref="P66:P70"/>
    <mergeCell ref="F90:F94"/>
    <mergeCell ref="R41:R45"/>
    <mergeCell ref="C414:C418"/>
    <mergeCell ref="C81:C85"/>
    <mergeCell ref="B153:B157"/>
    <mergeCell ref="E281:E285"/>
    <mergeCell ref="R404:R408"/>
    <mergeCell ref="E414:E418"/>
    <mergeCell ref="G281:G285"/>
    <mergeCell ref="B207:B211"/>
    <mergeCell ref="O17:O21"/>
    <mergeCell ref="G330:G334"/>
    <mergeCell ref="R105:R109"/>
    <mergeCell ref="C158:C162"/>
    <mergeCell ref="B173:B177"/>
    <mergeCell ref="B222:B226"/>
    <mergeCell ref="E345:E349"/>
    <mergeCell ref="D173:D177"/>
    <mergeCell ref="B271:B275"/>
    <mergeCell ref="E22:E26"/>
    <mergeCell ref="Q296:Q300"/>
    <mergeCell ref="D271:D275"/>
    <mergeCell ref="G22:G26"/>
    <mergeCell ref="G345:G349"/>
    <mergeCell ref="S296:S300"/>
    <mergeCell ref="D148:D152"/>
    <mergeCell ref="F148:F152"/>
    <mergeCell ref="N139:N143"/>
    <mergeCell ref="B115:B119"/>
    <mergeCell ref="B286:B290"/>
    <mergeCell ref="P139:P143"/>
    <mergeCell ref="N237:N241"/>
    <mergeCell ref="D286:D290"/>
    <mergeCell ref="O409:O413"/>
    <mergeCell ref="G409:G413"/>
    <mergeCell ref="D115:D119"/>
    <mergeCell ref="N188:N192"/>
    <mergeCell ref="Q12:Q16"/>
    <mergeCell ref="D237:D241"/>
    <mergeCell ref="P188:P192"/>
    <mergeCell ref="F237:F241"/>
    <mergeCell ref="A322:B322"/>
    <mergeCell ref="N76:N80"/>
    <mergeCell ref="Q6:Q11"/>
    <mergeCell ref="G178:G182"/>
    <mergeCell ref="F212:F216"/>
    <mergeCell ref="S6:S11"/>
    <mergeCell ref="N374:N378"/>
    <mergeCell ref="A178:A182"/>
    <mergeCell ref="N301:N305"/>
    <mergeCell ref="B27:B31"/>
    <mergeCell ref="S291:S295"/>
    <mergeCell ref="F301:F305"/>
    <mergeCell ref="P301:P305"/>
    <mergeCell ref="F276:F280"/>
    <mergeCell ref="D306:D310"/>
    <mergeCell ref="N232:N236"/>
    <mergeCell ref="D281:D285"/>
    <mergeCell ref="F306:F310"/>
    <mergeCell ref="P61:P65"/>
    <mergeCell ref="B6:B11"/>
    <mergeCell ref="R183:R187"/>
    <mergeCell ref="O32:O36"/>
    <mergeCell ref="R394:R398"/>
    <mergeCell ref="O330:O334"/>
    <mergeCell ref="P296:P300"/>
    <mergeCell ref="R247:R251"/>
    <mergeCell ref="G325:G329"/>
    <mergeCell ref="O360:O364"/>
    <mergeCell ref="C148:C152"/>
    <mergeCell ref="E148:E152"/>
    <mergeCell ref="Q311:Q315"/>
    <mergeCell ref="O311:O315"/>
    <mergeCell ref="A71:A75"/>
    <mergeCell ref="A311:A315"/>
    <mergeCell ref="O335:O339"/>
    <mergeCell ref="E335:E339"/>
    <mergeCell ref="O139:O143"/>
    <mergeCell ref="G335:G339"/>
    <mergeCell ref="R252:R256"/>
    <mergeCell ref="R262:R266"/>
    <mergeCell ref="B168:B172"/>
    <mergeCell ref="Q90:Q94"/>
    <mergeCell ref="Q188:Q192"/>
    <mergeCell ref="D168:D172"/>
    <mergeCell ref="O188:O192"/>
    <mergeCell ref="Q17:Q21"/>
    <mergeCell ref="R56:R60"/>
    <mergeCell ref="N379:N383"/>
    <mergeCell ref="O399:O403"/>
    <mergeCell ref="A100:A104"/>
    <mergeCell ref="G399:G403"/>
    <mergeCell ref="E193:E197"/>
    <mergeCell ref="R120:R124"/>
    <mergeCell ref="D232:D236"/>
    <mergeCell ref="G193:G197"/>
    <mergeCell ref="N158:N162"/>
    <mergeCell ref="Q399:Q403"/>
    <mergeCell ref="N316:N320"/>
    <mergeCell ref="C66:C70"/>
    <mergeCell ref="S110:S114"/>
    <mergeCell ref="A173:A177"/>
    <mergeCell ref="G257:G261"/>
    <mergeCell ref="P76:P80"/>
    <mergeCell ref="B355:B359"/>
    <mergeCell ref="P374:P378"/>
    <mergeCell ref="N51:N55"/>
    <mergeCell ref="P51:P55"/>
    <mergeCell ref="N153:N157"/>
    <mergeCell ref="F227:F231"/>
    <mergeCell ref="P153:P157"/>
    <mergeCell ref="G46:G50"/>
    <mergeCell ref="A168:A172"/>
    <mergeCell ref="B350:B354"/>
    <mergeCell ref="O306:O310"/>
    <mergeCell ref="O281:O285"/>
    <mergeCell ref="D350:D354"/>
    <mergeCell ref="R173:R177"/>
    <mergeCell ref="G148:G152"/>
    <mergeCell ref="D414:D418"/>
    <mergeCell ref="A242:A246"/>
    <mergeCell ref="A120:A124"/>
    <mergeCell ref="F414:F418"/>
    <mergeCell ref="C71:C75"/>
    <mergeCell ref="O22:O26"/>
    <mergeCell ref="C242:C246"/>
    <mergeCell ref="N17:N21"/>
    <mergeCell ref="A201:B201"/>
    <mergeCell ref="G394:G398"/>
    <mergeCell ref="C3:S3"/>
    <mergeCell ref="N148:N152"/>
    <mergeCell ref="R110:R114"/>
    <mergeCell ref="F17:F21"/>
    <mergeCell ref="C379:C383"/>
    <mergeCell ref="O134:O138"/>
    <mergeCell ref="F345:F349"/>
    <mergeCell ref="R217:R221"/>
    <mergeCell ref="F22:F26"/>
    <mergeCell ref="O51:O55"/>
    <mergeCell ref="C5:S5"/>
    <mergeCell ref="S129:S133"/>
    <mergeCell ref="A115:A119"/>
    <mergeCell ref="C237:C241"/>
    <mergeCell ref="N369:N373"/>
    <mergeCell ref="F409:F413"/>
    <mergeCell ref="E66:E70"/>
    <mergeCell ref="E237:E241"/>
    <mergeCell ref="P369:P373"/>
    <mergeCell ref="P12:P16"/>
    <mergeCell ref="E41:E45"/>
    <mergeCell ref="P6:P11"/>
    <mergeCell ref="E212:E216"/>
    <mergeCell ref="G41:G45"/>
    <mergeCell ref="R6:R11"/>
    <mergeCell ref="N306:N310"/>
    <mergeCell ref="E301:E305"/>
    <mergeCell ref="G301:G305"/>
    <mergeCell ref="G105:G109"/>
    <mergeCell ref="G276:G280"/>
    <mergeCell ref="N95:N99"/>
    <mergeCell ref="B71:B75"/>
    <mergeCell ref="B242:B246"/>
    <mergeCell ref="S389:S393"/>
    <mergeCell ref="G61:G65"/>
    <mergeCell ref="Q389:Q393"/>
    <mergeCell ref="S12:S16"/>
    <mergeCell ref="S183:S187"/>
    <mergeCell ref="D46:D50"/>
    <mergeCell ref="N32:N36"/>
    <mergeCell ref="C384:C388"/>
    <mergeCell ref="A110:A114"/>
    <mergeCell ref="N330:N334"/>
    <mergeCell ref="D325:D329"/>
    <mergeCell ref="S247:S251"/>
    <mergeCell ref="R153:R157"/>
    <mergeCell ref="F325:F329"/>
    <mergeCell ref="F12:F16"/>
    <mergeCell ref="A37:S37"/>
    <mergeCell ref="C374:C378"/>
    <mergeCell ref="F335:F339"/>
    <mergeCell ref="S262:S266"/>
    <mergeCell ref="O193:O197"/>
    <mergeCell ref="P90:P94"/>
    <mergeCell ref="D66:D70"/>
    <mergeCell ref="C168:C172"/>
    <mergeCell ref="R90:R94"/>
    <mergeCell ref="A127:B127"/>
    <mergeCell ref="P17:P21"/>
    <mergeCell ref="P217:P221"/>
    <mergeCell ref="D41:D45"/>
    <mergeCell ref="F291:F295"/>
    <mergeCell ref="F41:F45"/>
  </mergeCells>
  <conditionalFormatting sqref="A2:S418">
    <cfRule type="expression" priority="2" dxfId="4">
      <formula>$F2="Blocked"</formula>
    </cfRule>
    <cfRule type="expression" priority="3" dxfId="3">
      <formula>$F2="Done"</formula>
    </cfRule>
  </conditionalFormatting>
  <conditionalFormatting sqref="J2:J418">
    <cfRule type="expression" priority="4" dxfId="2">
      <formula>$J2="Done"</formula>
    </cfRule>
    <cfRule type="expression" priority="5" dxfId="1">
      <formula>$J2="Blocked"</formula>
    </cfRule>
  </conditionalFormatting>
  <dataValidations count="2">
    <dataValidation sqref="R6 R12 R17 R22 R27 R32 R41 R46 R51 R56 R61 R66 R71 R76 R81 R90 R95 R100 R105 R110 R115 R120 R129 R134 R139 R148 R153 R158 R163 R168 R173 R178 R183 R188 R193 R202 R207 R212 R217 R222 R227 R232 R237 R242 R247 R252 R257 R262 R271 R276 R281 R286 R291 R296 R301 R306 R311 R316 R325 R330 R335 R340 R345 R350 R355 R360 R369 R374 R379 R384 R389 R394 R399 R404 R409 R414" showDropDown="0" showInputMessage="0" showErrorMessage="0" allowBlank="1" type="list">
      <formula1>"1,2,3,4,5"</formula1>
      <formula2>0</formula2>
    </dataValidation>
    <dataValidation sqref="J6:J36 J41:J85 J90:J124 J129:J143 J148:J197 J202:J266 J271:J320 J325:J364 J369:J418" showDropDown="0" showInputMessage="0" showErrorMessage="0" allowBlank="1" type="list">
      <formula1>"To do,In progress,Blocked,Done"</formula1>
      <formula2>0</formula2>
    </dataValidation>
  </dataValidations>
  <hyperlinks>
    <hyperlink xmlns:r="http://schemas.openxmlformats.org/officeDocument/2006/relationships" ref="O27" display="• Indeed: *Examples of Ethics* — https://www.indeed.com/career-advice/career-development/example-of-ethics_x000a_• HBR: *How to Manipulate Customers... Ethically* — https://hbr.org/2021/10/how-to-manipulate-customers-ethically_x000a_• HBR: *How to Be a Leader Who Stays True to Their Ethics* — https://hbr.org/2021/09/how-to-be-a-leader-who-stays-true-to-their-ethics-2_x000a_• Planisware: *Project Management Ethics* — https://www.planisware.com/hub/blog/project-management-ethics-essential-ingredient-project-leadership_x000a_• Deceptive Design pattern library — https://www.deceptive.design/types" r:id="rId1"/>
    <hyperlink xmlns:r="http://schemas.openxmlformats.org/officeDocument/2006/relationships" ref="S27" r:id="rId2"/>
  </hyperlink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4"/>
  <sheetViews>
    <sheetView zoomScaleNormal="100" workbookViewId="0">
      <pane ySplit="1" topLeftCell="A3" activePane="bottomLeft" state="frozen"/>
      <selection pane="bottomLeft" activeCell="B3" sqref="B3"/>
    </sheetView>
  </sheetViews>
  <sheetFormatPr baseColWidth="8" defaultColWidth="14.42578125" defaultRowHeight="15"/>
  <cols>
    <col width="22" customWidth="1" style="71" min="1" max="1"/>
    <col width="24" customWidth="1" style="71" min="2" max="2"/>
    <col width="96" customWidth="1" style="71" min="3" max="3"/>
    <col width="60" customWidth="1" style="71" min="4" max="4"/>
    <col width="58" customWidth="1" style="71" min="5" max="5"/>
    <col width="8.7109375" customWidth="1" style="71" min="6" max="26"/>
  </cols>
  <sheetData>
    <row r="1" ht="33.75" customHeight="1" s="71">
      <c r="A1" s="15" t="inlineStr">
        <is>
          <t>Brief</t>
        </is>
      </c>
      <c r="B1" s="15" t="inlineStr">
        <is>
          <t>Used in</t>
        </is>
      </c>
      <c r="C1" s="15" t="inlineStr">
        <is>
          <t>The brief, as the client wrote it</t>
        </is>
      </c>
      <c r="D1" s="15" t="inlineStr">
        <is>
          <t>What's deliberately missing</t>
        </is>
      </c>
      <c r="E1" s="15" t="inlineStr">
        <is>
          <t>Why this brief</t>
        </is>
      </c>
    </row>
    <row r="2" ht="339.75" customHeight="1" s="71">
      <c r="A2" s="32" t="inlineStr">
        <is>
          <t>Brief A · PawPal</t>
        </is>
      </c>
      <c r="B2" s="33" t="inlineStr">
        <is>
          <t>Module 2</t>
        </is>
      </c>
      <c r="C2" s="33" t="inlineStr">
        <is>
          <t>We're a small team in Ahmedabad and we want to build an app for pet sitting. The idea is that pet owners can find someone nearby to look after their pet when they travel. There are a lot of these apps abroad but nothing good for the Indian market.
Our main worry is trust — people are nervous about handing their dog to a stranger. We want it to feel safe. We're thinking about reviews and maybe some kind of verification.
We'd want owners to be able to book someone quickly, see who's available, and message them. Sitters should be able to set their availability and rates. Payments through UPI.
We have a small budget and want something in the market within four months.</t>
        </is>
      </c>
      <c r="D2" s="33" t="inlineStr">
        <is>
          <t>who the sitters are and how they're recruited, what "verification" means, what happens when something goes wrong, whether this is for boarding or home visits, and how the two sides of the marketplace get seeded.</t>
        </is>
      </c>
      <c r="E2" s="33" t="n"/>
    </row>
    <row r="3" ht="339.75" customHeight="1" s="71">
      <c r="A3" s="32" t="inlineStr">
        <is>
          <t>Brief B · Harvest Hub</t>
        </is>
      </c>
      <c r="B3" s="33" t="inlineStr">
        <is>
          <t>Modules 4, 5 and 6</t>
        </is>
      </c>
      <c r="C3" s="33" t="inlineStr">
        <is>
          <t>We distribute fresh produce to about 200 restaurants and small grocers across three cities. Right now our ops team runs everything on WhatsApp and a shared spreadsheet, and it's falling apart. Orders get missed. Nobody knows what stock we have until someone walks into the cold storage.
We need an internal admin system. The ops team should be able to see incoming orders, check stock, assign deliveries to drivers, and know what's late. Our warehouse manager wants to update inventory as things come in and go out. Our owner wants to see how the business is doing without asking anyone.
The ops team is five people, aged 25 to 55, not especially technical. They work on laptops in the warehouse office. Some of them are much faster on the spreadsheet than they'd be on a new system, and they've told us so.
Produce is perishable — an order that's a day late is often worthless. That's the thing that costs us the most.</t>
        </is>
      </c>
      <c r="D3" s="33" t="inlineStr">
        <is>
          <t>how orders currently arrive, whether drivers need anything, what "how the business is doing" means to the owner, existing systems it must talk to, and what happens when stock runs out mid-order.</t>
        </is>
      </c>
      <c r="E3" s="33" t="inlineStr">
        <is>
          <t>dense, information-heavy, used all day by non-enthusiastic users. This is what most of our client work actually looks like — and the requirements are far harder than the screens.</t>
        </is>
      </c>
    </row>
    <row r="4" ht="339.75" customHeight="1" s="71">
      <c r="A4" s="32" t="inlineStr">
        <is>
          <t>Brief C · ClaimLens</t>
        </is>
      </c>
      <c r="B4" s="33" t="inlineStr">
        <is>
          <t>Modules 6 and 8 (capstone)</t>
        </is>
      </c>
      <c r="C4" s="33" t="inlineStr">
        <is>
          <t>We're a mid-sized insurance company handling around 4,000 motor claims a month. Each claim comes in with a form, photos, sometimes a police report, sometimes a garage estimate. Our adjusters open each one, read everything, decide whether it's straightforward or needs investigation, and route it accordingly.
It takes too long. Our adjusters spend most of their day on claims that were obviously routine, which means the complicated ones sit in a queue.
We want an AI-assisted triage console. When a claim arrives, the system should read what's in it, flag anything unusual, suggest a route, and let the adjuster confirm or override. We'd also like adjusters to be able to search across past claims and policy documents in plain language rather than by claim number.
Our adjusters have been doing this for years and some of them have been here two decades. A few of them are worried this is about replacing them. Our compliance team needs every decision to be auditable — if a claim was routed a certain way, we need to be able to show why.
Regulator-facing, so we can't get this wrong.</t>
        </is>
      </c>
      <c r="D4" s="33" t="inlineStr">
        <is>
          <t>what "unusual" means, what the adjusters currently find hardest, what happens when the AI is wrong, what the audit trail must contain, accessibility requirements, and how the system is introduced to a sceptical team.</t>
        </is>
      </c>
      <c r="E4" s="33" t="inlineStr">
        <is>
          <t>it's dense, it's regulated, it has real humans with real anxieties, and its central feature is probabilistic. Every one of those is a design problem you'll meet here.</t>
        </is>
      </c>
    </row>
    <row r="21" ht="15.75" customHeight="1" s="71"/>
    <row r="22" ht="15.75" customHeight="1" s="71"/>
    <row r="23" ht="15.75" customHeight="1" s="71"/>
    <row r="24" ht="15.75" customHeight="1" s="71"/>
    <row r="25" ht="15.75" customHeight="1" s="71"/>
    <row r="26" ht="15.75" customHeight="1" s="71"/>
    <row r="27" ht="15.75" customHeight="1" s="71"/>
    <row r="28" ht="15.75" customHeight="1" s="71"/>
    <row r="29" ht="15.75" customHeight="1" s="71"/>
    <row r="30" ht="15.75" customHeight="1" s="71"/>
    <row r="31" ht="15.75" customHeight="1" s="71"/>
    <row r="32" ht="15.75" customHeight="1" s="71"/>
    <row r="33" ht="15.75" customHeight="1" s="71"/>
    <row r="34" ht="15.75" customHeight="1" s="71"/>
    <row r="35" ht="15.75" customHeight="1" s="71"/>
    <row r="36" ht="15.75" customHeight="1" s="71"/>
    <row r="37" ht="15.75" customHeight="1" s="71"/>
    <row r="38" ht="15.75" customHeight="1" s="71"/>
    <row r="39" ht="15.75" customHeight="1" s="71"/>
    <row r="40" ht="15.75" customHeight="1" s="71"/>
    <row r="41" ht="15.75" customHeight="1" s="71"/>
    <row r="42" ht="15.75" customHeight="1" s="71"/>
    <row r="43" ht="15.75" customHeight="1" s="71"/>
    <row r="44" ht="15.75" customHeight="1" s="71"/>
    <row r="45" ht="15.75" customHeight="1" s="71"/>
    <row r="46" ht="15.75" customHeight="1" s="71"/>
    <row r="47" ht="15.75" customHeight="1" s="71"/>
    <row r="48" ht="15.75" customHeight="1" s="71"/>
    <row r="49" ht="15.75" customHeight="1" s="71"/>
    <row r="50" ht="15.75" customHeight="1" s="71"/>
    <row r="51" ht="15.75" customHeight="1" s="71"/>
    <row r="52" ht="15.75" customHeight="1" s="71"/>
    <row r="53" ht="15.75" customHeight="1" s="71"/>
    <row r="54" ht="15.75" customHeight="1" s="71"/>
    <row r="55" ht="15.75" customHeight="1" s="71"/>
    <row r="56" ht="15.75" customHeight="1" s="71"/>
    <row r="57" ht="15.75" customHeight="1" s="71"/>
    <row r="58" ht="15.75" customHeight="1" s="71"/>
    <row r="59" ht="15.75" customHeight="1" s="71"/>
    <row r="60" ht="15.75" customHeight="1" s="71"/>
    <row r="61" ht="15.75" customHeight="1" s="71"/>
    <row r="62" ht="15.75" customHeight="1" s="71"/>
    <row r="63" ht="15.75" customHeight="1" s="71"/>
    <row r="64" ht="15.75" customHeight="1" s="71"/>
    <row r="65" ht="15.75" customHeight="1" s="71"/>
    <row r="66" ht="15.75" customHeight="1" s="71"/>
    <row r="67" ht="15.75" customHeight="1" s="71"/>
    <row r="68" ht="15.75" customHeight="1" s="71"/>
    <row r="69" ht="15.75" customHeight="1" s="71"/>
    <row r="70" ht="15.75" customHeight="1" s="71"/>
    <row r="71" ht="15.75" customHeight="1" s="71"/>
    <row r="72" ht="15.75" customHeight="1" s="71"/>
    <row r="73" ht="15.75" customHeight="1" s="71"/>
    <row r="74" ht="15.75" customHeight="1" s="71"/>
    <row r="75" ht="15.75" customHeight="1" s="71"/>
    <row r="76" ht="15.75" customHeight="1" s="71"/>
    <row r="77" ht="15.75" customHeight="1" s="71"/>
    <row r="78" ht="15.75" customHeight="1" s="71"/>
    <row r="79" ht="15.75" customHeight="1" s="71"/>
    <row r="80" ht="15.75" customHeight="1" s="71"/>
    <row r="81" ht="15.75" customHeight="1" s="71"/>
    <row r="82" ht="15.75" customHeight="1" s="71"/>
    <row r="83" ht="15.75" customHeight="1" s="71"/>
    <row r="84" ht="15.75" customHeight="1" s="71"/>
    <row r="85" ht="15.75" customHeight="1" s="71"/>
    <row r="86" ht="15.75" customHeight="1" s="71"/>
    <row r="87" ht="15.75" customHeight="1" s="71"/>
    <row r="88" ht="15.75" customHeight="1" s="71"/>
    <row r="89" ht="15.75" customHeight="1" s="71"/>
    <row r="90" ht="15.75" customHeight="1" s="71"/>
    <row r="91" ht="15.75" customHeight="1" s="71"/>
    <row r="92" ht="15.75" customHeight="1" s="71"/>
    <row r="93" ht="15.75" customHeight="1" s="71"/>
    <row r="94" ht="15.75" customHeight="1" s="71"/>
    <row r="95" ht="15.75" customHeight="1" s="71"/>
    <row r="96" ht="15.75" customHeight="1" s="71"/>
    <row r="97" ht="15.75" customHeight="1" s="71"/>
    <row r="98" ht="15.75" customHeight="1" s="71"/>
    <row r="99" ht="15.75" customHeight="1" s="71"/>
    <row r="100" ht="15.75" customHeight="1" s="71"/>
    <row r="101" ht="15.75" customHeight="1" s="71"/>
    <row r="102" ht="15.75" customHeight="1" s="71"/>
    <row r="103" ht="15.75" customHeight="1" s="71"/>
    <row r="104" ht="15.75" customHeight="1" s="71"/>
    <row r="105" ht="15.75" customHeight="1" s="71"/>
    <row r="106" ht="15.75" customHeight="1" s="71"/>
    <row r="107" ht="15.75" customHeight="1" s="71"/>
    <row r="108" ht="15.75" customHeight="1" s="71"/>
    <row r="109" ht="15.75" customHeight="1" s="71"/>
    <row r="110" ht="15.75" customHeight="1" s="71"/>
    <row r="111" ht="15.75" customHeight="1" s="71"/>
    <row r="112" ht="15.75" customHeight="1" s="71"/>
    <row r="113" ht="15.75" customHeight="1" s="71"/>
    <row r="114" ht="15.75" customHeight="1" s="71"/>
    <row r="115" ht="15.75" customHeight="1" s="71"/>
    <row r="116" ht="15.75" customHeight="1" s="71"/>
    <row r="117" ht="15.75" customHeight="1" s="71"/>
    <row r="118" ht="15.75" customHeight="1" s="71"/>
    <row r="119" ht="15.75" customHeight="1" s="71"/>
    <row r="120" ht="15.75" customHeight="1" s="71"/>
    <row r="121" ht="15.75" customHeight="1" s="71"/>
    <row r="122" ht="15.75" customHeight="1" s="71"/>
    <row r="123" ht="15.75" customHeight="1" s="71"/>
    <row r="124" ht="15.75" customHeight="1" s="71"/>
    <row r="125" ht="15.75" customHeight="1" s="71"/>
    <row r="126" ht="15.75" customHeight="1" s="71"/>
    <row r="127" ht="15.75" customHeight="1" s="71"/>
    <row r="128" ht="15.75" customHeight="1" s="71"/>
    <row r="129" ht="15.75" customHeight="1" s="71"/>
    <row r="130" ht="15.75" customHeight="1" s="71"/>
    <row r="131" ht="15.75" customHeight="1" s="71"/>
    <row r="132" ht="15.75" customHeight="1" s="71"/>
    <row r="133" ht="15.75" customHeight="1" s="71"/>
    <row r="134" ht="15.75" customHeight="1" s="71"/>
    <row r="135" ht="15.75" customHeight="1" s="71"/>
    <row r="136" ht="15.75" customHeight="1" s="71"/>
    <row r="137" ht="15.75" customHeight="1" s="71"/>
    <row r="138" ht="15.75" customHeight="1" s="71"/>
    <row r="139" ht="15.75" customHeight="1" s="71"/>
    <row r="140" ht="15.75" customHeight="1" s="71"/>
    <row r="141" ht="15.75" customHeight="1" s="71"/>
    <row r="142" ht="15.75" customHeight="1" s="71"/>
    <row r="143" ht="15.75" customHeight="1" s="71"/>
    <row r="144" ht="15.75" customHeight="1" s="71"/>
    <row r="145" ht="15.75" customHeight="1" s="71"/>
    <row r="146" ht="15.75" customHeight="1" s="71"/>
    <row r="147" ht="15.75" customHeight="1" s="71"/>
    <row r="148" ht="15.75" customHeight="1" s="71"/>
    <row r="149" ht="15.75" customHeight="1" s="71"/>
    <row r="150" ht="15.75" customHeight="1" s="71"/>
    <row r="151" ht="15.75" customHeight="1" s="71"/>
    <row r="152" ht="15.75" customHeight="1" s="71"/>
    <row r="153" ht="15.75" customHeight="1" s="71"/>
    <row r="154" ht="15.75" customHeight="1" s="71"/>
    <row r="155" ht="15.75" customHeight="1" s="71"/>
    <row r="156" ht="15.75" customHeight="1" s="71"/>
    <row r="157" ht="15.75" customHeight="1" s="71"/>
    <row r="158" ht="15.75" customHeight="1" s="71"/>
    <row r="159" ht="15.75" customHeight="1" s="71"/>
    <row r="160" ht="15.75" customHeight="1" s="71"/>
    <row r="161" ht="15.75" customHeight="1" s="71"/>
    <row r="162" ht="15.75" customHeight="1" s="71"/>
    <row r="163" ht="15.75" customHeight="1" s="71"/>
    <row r="164" ht="15.75" customHeight="1" s="71"/>
    <row r="165" ht="15.75" customHeight="1" s="71"/>
    <row r="166" ht="15.75" customHeight="1" s="71"/>
    <row r="167" ht="15.75" customHeight="1" s="71"/>
    <row r="168" ht="15.75" customHeight="1" s="71"/>
    <row r="169" ht="15.75" customHeight="1" s="71"/>
    <row r="170" ht="15.75" customHeight="1" s="71"/>
    <row r="171" ht="15.75" customHeight="1" s="71"/>
    <row r="172" ht="15.75" customHeight="1" s="71"/>
    <row r="173" ht="15.75" customHeight="1" s="71"/>
    <row r="174" ht="15.75" customHeight="1" s="71"/>
    <row r="175" ht="15.75" customHeight="1" s="71"/>
    <row r="176" ht="15.75" customHeight="1" s="71"/>
    <row r="177" ht="15.75" customHeight="1" s="71"/>
    <row r="178" ht="15.75" customHeight="1" s="71"/>
    <row r="179" ht="15.75" customHeight="1" s="71"/>
    <row r="180" ht="15.75" customHeight="1" s="71"/>
    <row r="181" ht="15.75" customHeight="1" s="71"/>
    <row r="182" ht="15.75" customHeight="1" s="71"/>
    <row r="183" ht="15.75" customHeight="1" s="71"/>
    <row r="184" ht="15.75" customHeight="1" s="71"/>
    <row r="185" ht="15.75" customHeight="1" s="71"/>
    <row r="186" ht="15.75" customHeight="1" s="71"/>
    <row r="187" ht="15.75" customHeight="1" s="71"/>
    <row r="188" ht="15.75" customHeight="1" s="71"/>
    <row r="189" ht="15.75" customHeight="1" s="71"/>
    <row r="190" ht="15.75" customHeight="1" s="71"/>
    <row r="191" ht="15.75" customHeight="1" s="71"/>
    <row r="192" ht="15.75" customHeight="1" s="71"/>
    <row r="193" ht="15.75" customHeight="1" s="71"/>
    <row r="194" ht="15.75" customHeight="1" s="71"/>
    <row r="195" ht="15.75" customHeight="1" s="71"/>
    <row r="196" ht="15.75" customHeight="1" s="71"/>
    <row r="197" ht="15.75" customHeight="1" s="71"/>
    <row r="198" ht="15.75" customHeight="1" s="71"/>
    <row r="199" ht="15.75" customHeight="1" s="71"/>
    <row r="200" ht="15.75" customHeight="1" s="71"/>
    <row r="201" ht="15.75" customHeight="1" s="71"/>
    <row r="202" ht="15.75" customHeight="1" s="71"/>
    <row r="203" ht="15.75" customHeight="1" s="71"/>
    <row r="204" ht="15.75" customHeight="1" s="71"/>
    <row r="205" ht="15.75" customHeight="1" s="71"/>
    <row r="206" ht="15.75" customHeight="1" s="71"/>
    <row r="207" ht="15.75" customHeight="1" s="71"/>
    <row r="208" ht="15.75" customHeight="1" s="71"/>
    <row r="209" ht="15.75" customHeight="1" s="71"/>
    <row r="210" ht="15.75" customHeight="1" s="71"/>
    <row r="211" ht="15.75" customHeight="1" s="71"/>
    <row r="212" ht="15.75" customHeight="1" s="71"/>
    <row r="213" ht="15.75" customHeight="1" s="71"/>
    <row r="214" ht="15.75" customHeight="1" s="71"/>
    <row r="215" ht="15.75" customHeight="1" s="71"/>
    <row r="216" ht="15.75" customHeight="1" s="71"/>
    <row r="217" ht="15.75" customHeight="1" s="71"/>
    <row r="218" ht="15.75" customHeight="1" s="71"/>
    <row r="219" ht="15.75" customHeight="1" s="71"/>
    <row r="220" ht="15.75" customHeight="1" s="71"/>
    <row r="221" ht="15.75" customHeight="1" s="71"/>
    <row r="222" ht="15.75" customHeight="1" s="71"/>
    <row r="223" ht="15.75" customHeight="1" s="71"/>
    <row r="224" ht="15.75" customHeight="1" s="71"/>
    <row r="225" ht="15.75" customHeight="1" s="71"/>
    <row r="226" ht="15.75" customHeight="1" s="71"/>
    <row r="227" ht="15.75" customHeight="1" s="71"/>
    <row r="228" ht="15.75" customHeight="1" s="71"/>
    <row r="229" ht="15.75" customHeight="1" s="71"/>
    <row r="230" ht="15.75" customHeight="1" s="71"/>
    <row r="231" ht="15.75" customHeight="1" s="71"/>
    <row r="232" ht="15.75" customHeight="1" s="71"/>
    <row r="233" ht="15.75" customHeight="1" s="71"/>
    <row r="234" ht="15.75" customHeight="1" s="71"/>
    <row r="235" ht="15.75" customHeight="1" s="71"/>
    <row r="236" ht="15.75" customHeight="1" s="71"/>
    <row r="237" ht="15.75" customHeight="1" s="71"/>
    <row r="238" ht="15.75" customHeight="1" s="71"/>
    <row r="239" ht="15.75" customHeight="1" s="71"/>
    <row r="240" ht="15.75" customHeight="1" s="71"/>
    <row r="241" ht="15.75" customHeight="1" s="71"/>
    <row r="242" ht="15.75" customHeight="1" s="71"/>
    <row r="243" ht="15.75" customHeight="1" s="71"/>
    <row r="244" ht="15.75" customHeight="1" s="71"/>
    <row r="245" ht="15.75" customHeight="1" s="71"/>
    <row r="246" ht="15.75" customHeight="1" s="71"/>
    <row r="247" ht="15.75" customHeight="1" s="71"/>
    <row r="248" ht="15.75" customHeight="1" s="71"/>
    <row r="249" ht="15.75" customHeight="1" s="71"/>
    <row r="250" ht="15.75" customHeight="1" s="71"/>
    <row r="251" ht="15.75" customHeight="1" s="71"/>
    <row r="252" ht="15.75" customHeight="1" s="71"/>
    <row r="253" ht="15.75" customHeight="1" s="71"/>
    <row r="254" ht="15.75" customHeight="1" s="71"/>
    <row r="255" ht="15.75" customHeight="1" s="71"/>
    <row r="256" ht="15.75" customHeight="1" s="71"/>
    <row r="257" ht="15.75" customHeight="1" s="71"/>
    <row r="258" ht="15.75" customHeight="1" s="71"/>
    <row r="259" ht="15.75" customHeight="1" s="71"/>
    <row r="260" ht="15.75" customHeight="1" s="71"/>
    <row r="261" ht="15.75" customHeight="1" s="71"/>
    <row r="262" ht="15.75" customHeight="1" s="71"/>
    <row r="263" ht="15.75" customHeight="1" s="71"/>
    <row r="264" ht="15.75" customHeight="1" s="71"/>
    <row r="265" ht="15.75" customHeight="1" s="71"/>
    <row r="266" ht="15.75" customHeight="1" s="71"/>
    <row r="267" ht="15.75" customHeight="1" s="71"/>
    <row r="268" ht="15.75" customHeight="1" s="71"/>
    <row r="269" ht="15.75" customHeight="1" s="71"/>
    <row r="270" ht="15.75" customHeight="1" s="71"/>
    <row r="271" ht="15.75" customHeight="1" s="71"/>
    <row r="272" ht="15.75" customHeight="1" s="71"/>
    <row r="273" ht="15.75" customHeight="1" s="71"/>
    <row r="274" ht="15.75" customHeight="1" s="71"/>
    <row r="275" ht="15.75" customHeight="1" s="71"/>
    <row r="276" ht="15.75" customHeight="1" s="71"/>
    <row r="277" ht="15.75" customHeight="1" s="71"/>
    <row r="278" ht="15.75" customHeight="1" s="71"/>
    <row r="279" ht="15.75" customHeight="1" s="71"/>
    <row r="280" ht="15.75" customHeight="1" s="71"/>
    <row r="281" ht="15.75" customHeight="1" s="71"/>
    <row r="282" ht="15.75" customHeight="1" s="71"/>
    <row r="283" ht="15.75" customHeight="1" s="71"/>
    <row r="284" ht="15.75" customHeight="1" s="71"/>
    <row r="285" ht="15.75" customHeight="1" s="71"/>
    <row r="286" ht="15.75" customHeight="1" s="71"/>
    <row r="287" ht="15.75" customHeight="1" s="71"/>
    <row r="288" ht="15.75" customHeight="1" s="71"/>
    <row r="289" ht="15.75" customHeight="1" s="71"/>
    <row r="290" ht="15.75" customHeight="1" s="71"/>
    <row r="291" ht="15.75" customHeight="1" s="71"/>
    <row r="292" ht="15.75" customHeight="1" s="71"/>
    <row r="293" ht="15.75" customHeight="1" s="71"/>
    <row r="294" ht="15.75" customHeight="1" s="71"/>
    <row r="295" ht="15.75" customHeight="1" s="71"/>
    <row r="296" ht="15.75" customHeight="1" s="71"/>
    <row r="297" ht="15.75" customHeight="1" s="71"/>
    <row r="298" ht="15.75" customHeight="1" s="71"/>
    <row r="299" ht="15.75" customHeight="1" s="71"/>
    <row r="300" ht="15.75" customHeight="1" s="71"/>
    <row r="301" ht="15.75" customHeight="1" s="71"/>
    <row r="302" ht="15.75" customHeight="1" s="71"/>
    <row r="303" ht="15.75" customHeight="1" s="71"/>
    <row r="304" ht="15.75" customHeight="1" s="71"/>
    <row r="305" ht="15.75" customHeight="1" s="71"/>
    <row r="306" ht="15.75" customHeight="1" s="71"/>
    <row r="307" ht="15.75" customHeight="1" s="71"/>
    <row r="308" ht="15.75" customHeight="1" s="71"/>
    <row r="309" ht="15.75" customHeight="1" s="71"/>
    <row r="310" ht="15.75" customHeight="1" s="71"/>
    <row r="311" ht="15.75" customHeight="1" s="71"/>
    <row r="312" ht="15.75" customHeight="1" s="71"/>
    <row r="313" ht="15.75" customHeight="1" s="71"/>
    <row r="314" ht="15.75" customHeight="1" s="71"/>
    <row r="315" ht="15.75" customHeight="1" s="71"/>
    <row r="316" ht="15.75" customHeight="1" s="71"/>
    <row r="317" ht="15.75" customHeight="1" s="71"/>
    <row r="318" ht="15.75" customHeight="1" s="71"/>
    <row r="319" ht="15.75" customHeight="1" s="71"/>
    <row r="320" ht="15.75" customHeight="1" s="71"/>
    <row r="321" ht="15.75" customHeight="1" s="71"/>
    <row r="322" ht="15.75" customHeight="1" s="71"/>
    <row r="323" ht="15.75" customHeight="1" s="71"/>
    <row r="324" ht="15.75" customHeight="1" s="71"/>
    <row r="325" ht="15.75" customHeight="1" s="71"/>
    <row r="326" ht="15.75" customHeight="1" s="71"/>
    <row r="327" ht="15.75" customHeight="1" s="71"/>
    <row r="328" ht="15.75" customHeight="1" s="71"/>
    <row r="329" ht="15.75" customHeight="1" s="71"/>
    <row r="330" ht="15.75" customHeight="1" s="71"/>
    <row r="331" ht="15.75" customHeight="1" s="71"/>
    <row r="332" ht="15.75" customHeight="1" s="71"/>
    <row r="333" ht="15.75" customHeight="1" s="71"/>
    <row r="334" ht="15.75" customHeight="1" s="71"/>
    <row r="335" ht="15.75" customHeight="1" s="71"/>
    <row r="336" ht="15.75" customHeight="1" s="71"/>
    <row r="337" ht="15.75" customHeight="1" s="71"/>
    <row r="338" ht="15.75" customHeight="1" s="71"/>
    <row r="339" ht="15.75" customHeight="1" s="71"/>
    <row r="340" ht="15.75" customHeight="1" s="71"/>
    <row r="341" ht="15.75" customHeight="1" s="71"/>
    <row r="342" ht="15.75" customHeight="1" s="71"/>
    <row r="343" ht="15.75" customHeight="1" s="71"/>
    <row r="344" ht="15.75" customHeight="1" s="71"/>
    <row r="345" ht="15.75" customHeight="1" s="71"/>
    <row r="346" ht="15.75" customHeight="1" s="71"/>
    <row r="347" ht="15.75" customHeight="1" s="71"/>
    <row r="348" ht="15.75" customHeight="1" s="71"/>
    <row r="349" ht="15.75" customHeight="1" s="71"/>
    <row r="350" ht="15.75" customHeight="1" s="71"/>
    <row r="351" ht="15.75" customHeight="1" s="71"/>
    <row r="352" ht="15.75" customHeight="1" s="71"/>
    <row r="353" ht="15.75" customHeight="1" s="71"/>
    <row r="354" ht="15.75" customHeight="1" s="71"/>
    <row r="355" ht="15.75" customHeight="1" s="71"/>
    <row r="356" ht="15.75" customHeight="1" s="71"/>
    <row r="357" ht="15.75" customHeight="1" s="71"/>
    <row r="358" ht="15.75" customHeight="1" s="71"/>
    <row r="359" ht="15.75" customHeight="1" s="71"/>
    <row r="360" ht="15.75" customHeight="1" s="71"/>
    <row r="361" ht="15.75" customHeight="1" s="71"/>
    <row r="362" ht="15.75" customHeight="1" s="71"/>
    <row r="363" ht="15.75" customHeight="1" s="71"/>
    <row r="364" ht="15.75" customHeight="1" s="71"/>
    <row r="365" ht="15.75" customHeight="1" s="71"/>
    <row r="366" ht="15.75" customHeight="1" s="71"/>
    <row r="367" ht="15.75" customHeight="1" s="71"/>
    <row r="368" ht="15.75" customHeight="1" s="71"/>
    <row r="369" ht="15.75" customHeight="1" s="71"/>
    <row r="370" ht="15.75" customHeight="1" s="71"/>
    <row r="371" ht="15.75" customHeight="1" s="71"/>
    <row r="372" ht="15.75" customHeight="1" s="71"/>
    <row r="373" ht="15.75" customHeight="1" s="71"/>
    <row r="374" ht="15.75" customHeight="1" s="71"/>
    <row r="375" ht="15.75" customHeight="1" s="71"/>
    <row r="376" ht="15.75" customHeight="1" s="71"/>
    <row r="377" ht="15.75" customHeight="1" s="71"/>
    <row r="378" ht="15.75" customHeight="1" s="71"/>
    <row r="379" ht="15.75" customHeight="1" s="71"/>
    <row r="380" ht="15.75" customHeight="1" s="71"/>
    <row r="381" ht="15.75" customHeight="1" s="71"/>
    <row r="382" ht="15.75" customHeight="1" s="71"/>
    <row r="383" ht="15.75" customHeight="1" s="71"/>
    <row r="384" ht="15.75" customHeight="1" s="71"/>
    <row r="385" ht="15.75" customHeight="1" s="71"/>
    <row r="386" ht="15.75" customHeight="1" s="71"/>
    <row r="387" ht="15.75" customHeight="1" s="71"/>
    <row r="388" ht="15.75" customHeight="1" s="71"/>
    <row r="389" ht="15.75" customHeight="1" s="71"/>
    <row r="390" ht="15.75" customHeight="1" s="71"/>
    <row r="391" ht="15.75" customHeight="1" s="71"/>
    <row r="392" ht="15.75" customHeight="1" s="71"/>
    <row r="393" ht="15.75" customHeight="1" s="71"/>
    <row r="394" ht="15.75" customHeight="1" s="71"/>
    <row r="395" ht="15.75" customHeight="1" s="71"/>
    <row r="396" ht="15.75" customHeight="1" s="71"/>
    <row r="397" ht="15.75" customHeight="1" s="71"/>
    <row r="398" ht="15.75" customHeight="1" s="71"/>
    <row r="399" ht="15.75" customHeight="1" s="71"/>
    <row r="400" ht="15.75" customHeight="1" s="71"/>
    <row r="401" ht="15.75" customHeight="1" s="71"/>
    <row r="402" ht="15.75" customHeight="1" s="71"/>
    <row r="403" ht="15.75" customHeight="1" s="71"/>
    <row r="404" ht="15.75" customHeight="1" s="71"/>
    <row r="405" ht="15.75" customHeight="1" s="71"/>
    <row r="406" ht="15.75" customHeight="1" s="71"/>
    <row r="407" ht="15.75" customHeight="1" s="71"/>
    <row r="408" ht="15.75" customHeight="1" s="71"/>
    <row r="409" ht="15.75" customHeight="1" s="71"/>
    <row r="410" ht="15.75" customHeight="1" s="71"/>
    <row r="411" ht="15.75" customHeight="1" s="71"/>
    <row r="412" ht="15.75" customHeight="1" s="71"/>
    <row r="413" ht="15.75" customHeight="1" s="71"/>
    <row r="414" ht="15.75" customHeight="1" s="71"/>
    <row r="415" ht="15.75" customHeight="1" s="71"/>
    <row r="416" ht="15.75" customHeight="1" s="71"/>
    <row r="417" ht="15.75" customHeight="1" s="71"/>
    <row r="418" ht="15.75" customHeight="1" s="71"/>
    <row r="419" ht="15.75" customHeight="1" s="71"/>
    <row r="420" ht="15.75" customHeight="1" s="71"/>
    <row r="421" ht="15.75" customHeight="1" s="71"/>
    <row r="422" ht="15.75" customHeight="1" s="71"/>
    <row r="423" ht="15.75" customHeight="1" s="71"/>
    <row r="424" ht="15.75" customHeight="1" s="71"/>
    <row r="425" ht="15.75" customHeight="1" s="71"/>
    <row r="426" ht="15.75" customHeight="1" s="71"/>
    <row r="427" ht="15.75" customHeight="1" s="71"/>
    <row r="428" ht="15.75" customHeight="1" s="71"/>
    <row r="429" ht="15.75" customHeight="1" s="71"/>
    <row r="430" ht="15.75" customHeight="1" s="71"/>
    <row r="431" ht="15.75" customHeight="1" s="71"/>
    <row r="432" ht="15.75" customHeight="1" s="71"/>
    <row r="433" ht="15.75" customHeight="1" s="71"/>
    <row r="434" ht="15.75" customHeight="1" s="71"/>
    <row r="435" ht="15.75" customHeight="1" s="71"/>
    <row r="436" ht="15.75" customHeight="1" s="71"/>
    <row r="437" ht="15.75" customHeight="1" s="71"/>
    <row r="438" ht="15.75" customHeight="1" s="71"/>
    <row r="439" ht="15.75" customHeight="1" s="71"/>
    <row r="440" ht="15.75" customHeight="1" s="71"/>
    <row r="441" ht="15.75" customHeight="1" s="71"/>
    <row r="442" ht="15.75" customHeight="1" s="71"/>
    <row r="443" ht="15.75" customHeight="1" s="71"/>
    <row r="444" ht="15.75" customHeight="1" s="71"/>
    <row r="445" ht="15.75" customHeight="1" s="71"/>
    <row r="446" ht="15.75" customHeight="1" s="71"/>
    <row r="447" ht="15.75" customHeight="1" s="71"/>
    <row r="448" ht="15.75" customHeight="1" s="71"/>
    <row r="449" ht="15.75" customHeight="1" s="71"/>
    <row r="450" ht="15.75" customHeight="1" s="71"/>
    <row r="451" ht="15.75" customHeight="1" s="71"/>
    <row r="452" ht="15.75" customHeight="1" s="71"/>
    <row r="453" ht="15.75" customHeight="1" s="71"/>
    <row r="454" ht="15.75" customHeight="1" s="71"/>
    <row r="455" ht="15.75" customHeight="1" s="71"/>
    <row r="456" ht="15.75" customHeight="1" s="71"/>
    <row r="457" ht="15.75" customHeight="1" s="71"/>
    <row r="458" ht="15.75" customHeight="1" s="71"/>
    <row r="459" ht="15.75" customHeight="1" s="71"/>
    <row r="460" ht="15.75" customHeight="1" s="71"/>
    <row r="461" ht="15.75" customHeight="1" s="71"/>
    <row r="462" ht="15.75" customHeight="1" s="71"/>
    <row r="463" ht="15.75" customHeight="1" s="71"/>
    <row r="464" ht="15.75" customHeight="1" s="71"/>
    <row r="465" ht="15.75" customHeight="1" s="71"/>
    <row r="466" ht="15.75" customHeight="1" s="71"/>
    <row r="467" ht="15.75" customHeight="1" s="71"/>
    <row r="468" ht="15.75" customHeight="1" s="71"/>
    <row r="469" ht="15.75" customHeight="1" s="71"/>
    <row r="470" ht="15.75" customHeight="1" s="71"/>
    <row r="471" ht="15.75" customHeight="1" s="71"/>
    <row r="472" ht="15.75" customHeight="1" s="71"/>
    <row r="473" ht="15.75" customHeight="1" s="71"/>
    <row r="474" ht="15.75" customHeight="1" s="71"/>
    <row r="475" ht="15.75" customHeight="1" s="71"/>
    <row r="476" ht="15.75" customHeight="1" s="71"/>
    <row r="477" ht="15.75" customHeight="1" s="71"/>
    <row r="478" ht="15.75" customHeight="1" s="71"/>
    <row r="479" ht="15.75" customHeight="1" s="71"/>
    <row r="480" ht="15.75" customHeight="1" s="71"/>
    <row r="481" ht="15.75" customHeight="1" s="71"/>
    <row r="482" ht="15.75" customHeight="1" s="71"/>
    <row r="483" ht="15.75" customHeight="1" s="71"/>
    <row r="484" ht="15.75" customHeight="1" s="71"/>
    <row r="485" ht="15.75" customHeight="1" s="71"/>
    <row r="486" ht="15.75" customHeight="1" s="71"/>
    <row r="487" ht="15.75" customHeight="1" s="71"/>
    <row r="488" ht="15.75" customHeight="1" s="71"/>
    <row r="489" ht="15.75" customHeight="1" s="71"/>
    <row r="490" ht="15.75" customHeight="1" s="71"/>
    <row r="491" ht="15.75" customHeight="1" s="71"/>
    <row r="492" ht="15.75" customHeight="1" s="71"/>
    <row r="493" ht="15.75" customHeight="1" s="71"/>
    <row r="494" ht="15.75" customHeight="1" s="71"/>
    <row r="495" ht="15.75" customHeight="1" s="71"/>
    <row r="496" ht="15.75" customHeight="1" s="71"/>
    <row r="497" ht="15.75" customHeight="1" s="71"/>
    <row r="498" ht="15.75" customHeight="1" s="71"/>
    <row r="499" ht="15.75" customHeight="1" s="71"/>
    <row r="500" ht="15.75" customHeight="1" s="71"/>
    <row r="501" ht="15.75" customHeight="1" s="71"/>
    <row r="502" ht="15.75" customHeight="1" s="71"/>
    <row r="503" ht="15.75" customHeight="1" s="71"/>
    <row r="504" ht="15.75" customHeight="1" s="71"/>
    <row r="505" ht="15.75" customHeight="1" s="71"/>
    <row r="506" ht="15.75" customHeight="1" s="71"/>
    <row r="507" ht="15.75" customHeight="1" s="71"/>
    <row r="508" ht="15.75" customHeight="1" s="71"/>
    <row r="509" ht="15.75" customHeight="1" s="71"/>
    <row r="510" ht="15.75" customHeight="1" s="71"/>
    <row r="511" ht="15.75" customHeight="1" s="71"/>
    <row r="512" ht="15.75" customHeight="1" s="71"/>
    <row r="513" ht="15.75" customHeight="1" s="71"/>
    <row r="514" ht="15.75" customHeight="1" s="71"/>
    <row r="515" ht="15.75" customHeight="1" s="71"/>
    <row r="516" ht="15.75" customHeight="1" s="71"/>
    <row r="517" ht="15.75" customHeight="1" s="71"/>
    <row r="518" ht="15.75" customHeight="1" s="71"/>
    <row r="519" ht="15.75" customHeight="1" s="71"/>
    <row r="520" ht="15.75" customHeight="1" s="71"/>
    <row r="521" ht="15.75" customHeight="1" s="71"/>
    <row r="522" ht="15.75" customHeight="1" s="71"/>
    <row r="523" ht="15.75" customHeight="1" s="71"/>
    <row r="524" ht="15.75" customHeight="1" s="71"/>
    <row r="525" ht="15.75" customHeight="1" s="71"/>
    <row r="526" ht="15.75" customHeight="1" s="71"/>
    <row r="527" ht="15.75" customHeight="1" s="71"/>
    <row r="528" ht="15.75" customHeight="1" s="71"/>
    <row r="529" ht="15.75" customHeight="1" s="71"/>
    <row r="530" ht="15.75" customHeight="1" s="71"/>
    <row r="531" ht="15.75" customHeight="1" s="71"/>
    <row r="532" ht="15.75" customHeight="1" s="71"/>
    <row r="533" ht="15.75" customHeight="1" s="71"/>
    <row r="534" ht="15.75" customHeight="1" s="71"/>
    <row r="535" ht="15.75" customHeight="1" s="71"/>
    <row r="536" ht="15.75" customHeight="1" s="71"/>
    <row r="537" ht="15.75" customHeight="1" s="71"/>
    <row r="538" ht="15.75" customHeight="1" s="71"/>
    <row r="539" ht="15.75" customHeight="1" s="71"/>
    <row r="540" ht="15.75" customHeight="1" s="71"/>
    <row r="541" ht="15.75" customHeight="1" s="71"/>
    <row r="542" ht="15.75" customHeight="1" s="71"/>
    <row r="543" ht="15.75" customHeight="1" s="71"/>
    <row r="544" ht="15.75" customHeight="1" s="71"/>
    <row r="545" ht="15.75" customHeight="1" s="71"/>
    <row r="546" ht="15.75" customHeight="1" s="71"/>
    <row r="547" ht="15.75" customHeight="1" s="71"/>
    <row r="548" ht="15.75" customHeight="1" s="71"/>
    <row r="549" ht="15.75" customHeight="1" s="71"/>
    <row r="550" ht="15.75" customHeight="1" s="71"/>
    <row r="551" ht="15.75" customHeight="1" s="71"/>
    <row r="552" ht="15.75" customHeight="1" s="71"/>
    <row r="553" ht="15.75" customHeight="1" s="71"/>
    <row r="554" ht="15.75" customHeight="1" s="71"/>
    <row r="555" ht="15.75" customHeight="1" s="71"/>
    <row r="556" ht="15.75" customHeight="1" s="71"/>
    <row r="557" ht="15.75" customHeight="1" s="71"/>
    <row r="558" ht="15.75" customHeight="1" s="71"/>
    <row r="559" ht="15.75" customHeight="1" s="71"/>
    <row r="560" ht="15.75" customHeight="1" s="71"/>
    <row r="561" ht="15.75" customHeight="1" s="71"/>
    <row r="562" ht="15.75" customHeight="1" s="71"/>
    <row r="563" ht="15.75" customHeight="1" s="71"/>
    <row r="564" ht="15.75" customHeight="1" s="71"/>
    <row r="565" ht="15.75" customHeight="1" s="71"/>
    <row r="566" ht="15.75" customHeight="1" s="71"/>
    <row r="567" ht="15.75" customHeight="1" s="71"/>
    <row r="568" ht="15.75" customHeight="1" s="71"/>
    <row r="569" ht="15.75" customHeight="1" s="71"/>
    <row r="570" ht="15.75" customHeight="1" s="71"/>
    <row r="571" ht="15.75" customHeight="1" s="71"/>
    <row r="572" ht="15.75" customHeight="1" s="71"/>
    <row r="573" ht="15.75" customHeight="1" s="71"/>
    <row r="574" ht="15.75" customHeight="1" s="71"/>
    <row r="575" ht="15.75" customHeight="1" s="71"/>
    <row r="576" ht="15.75" customHeight="1" s="71"/>
    <row r="577" ht="15.75" customHeight="1" s="71"/>
    <row r="578" ht="15.75" customHeight="1" s="71"/>
    <row r="579" ht="15.75" customHeight="1" s="71"/>
    <row r="580" ht="15.75" customHeight="1" s="71"/>
    <row r="581" ht="15.75" customHeight="1" s="71"/>
    <row r="582" ht="15.75" customHeight="1" s="71"/>
    <row r="583" ht="15.75" customHeight="1" s="71"/>
    <row r="584" ht="15.75" customHeight="1" s="71"/>
    <row r="585" ht="15.75" customHeight="1" s="71"/>
    <row r="586" ht="15.75" customHeight="1" s="71"/>
    <row r="587" ht="15.75" customHeight="1" s="71"/>
    <row r="588" ht="15.75" customHeight="1" s="71"/>
    <row r="589" ht="15.75" customHeight="1" s="71"/>
    <row r="590" ht="15.75" customHeight="1" s="71"/>
    <row r="591" ht="15.75" customHeight="1" s="71"/>
    <row r="592" ht="15.75" customHeight="1" s="71"/>
    <row r="593" ht="15.75" customHeight="1" s="71"/>
    <row r="594" ht="15.75" customHeight="1" s="71"/>
    <row r="595" ht="15.75" customHeight="1" s="71"/>
    <row r="596" ht="15.75" customHeight="1" s="71"/>
    <row r="597" ht="15.75" customHeight="1" s="71"/>
    <row r="598" ht="15.75" customHeight="1" s="71"/>
    <row r="599" ht="15.75" customHeight="1" s="71"/>
    <row r="600" ht="15.75" customHeight="1" s="71"/>
    <row r="601" ht="15.75" customHeight="1" s="71"/>
    <row r="602" ht="15.75" customHeight="1" s="71"/>
    <row r="603" ht="15.75" customHeight="1" s="71"/>
    <row r="604" ht="15.75" customHeight="1" s="71"/>
    <row r="605" ht="15.75" customHeight="1" s="71"/>
    <row r="606" ht="15.75" customHeight="1" s="71"/>
    <row r="607" ht="15.75" customHeight="1" s="71"/>
    <row r="608" ht="15.75" customHeight="1" s="71"/>
    <row r="609" ht="15.75" customHeight="1" s="71"/>
    <row r="610" ht="15.75" customHeight="1" s="71"/>
    <row r="611" ht="15.75" customHeight="1" s="71"/>
    <row r="612" ht="15.75" customHeight="1" s="71"/>
    <row r="613" ht="15.75" customHeight="1" s="71"/>
    <row r="614" ht="15.75" customHeight="1" s="71"/>
    <row r="615" ht="15.75" customHeight="1" s="71"/>
    <row r="616" ht="15.75" customHeight="1" s="71"/>
    <row r="617" ht="15.75" customHeight="1" s="71"/>
    <row r="618" ht="15.75" customHeight="1" s="71"/>
    <row r="619" ht="15.75" customHeight="1" s="71"/>
    <row r="620" ht="15.75" customHeight="1" s="71"/>
    <row r="621" ht="15.75" customHeight="1" s="71"/>
    <row r="622" ht="15.75" customHeight="1" s="71"/>
    <row r="623" ht="15.75" customHeight="1" s="71"/>
    <row r="624" ht="15.75" customHeight="1" s="71"/>
    <row r="625" ht="15.75" customHeight="1" s="71"/>
    <row r="626" ht="15.75" customHeight="1" s="71"/>
    <row r="627" ht="15.75" customHeight="1" s="71"/>
    <row r="628" ht="15.75" customHeight="1" s="71"/>
    <row r="629" ht="15.75" customHeight="1" s="71"/>
    <row r="630" ht="15.75" customHeight="1" s="71"/>
    <row r="631" ht="15.75" customHeight="1" s="71"/>
    <row r="632" ht="15.75" customHeight="1" s="71"/>
    <row r="633" ht="15.75" customHeight="1" s="71"/>
    <row r="634" ht="15.75" customHeight="1" s="71"/>
    <row r="635" ht="15.75" customHeight="1" s="71"/>
    <row r="636" ht="15.75" customHeight="1" s="71"/>
    <row r="637" ht="15.75" customHeight="1" s="71"/>
    <row r="638" ht="15.75" customHeight="1" s="71"/>
    <row r="639" ht="15.75" customHeight="1" s="71"/>
    <row r="640" ht="15.75" customHeight="1" s="71"/>
    <row r="641" ht="15.75" customHeight="1" s="71"/>
    <row r="642" ht="15.75" customHeight="1" s="71"/>
    <row r="643" ht="15.75" customHeight="1" s="71"/>
    <row r="644" ht="15.75" customHeight="1" s="71"/>
    <row r="645" ht="15.75" customHeight="1" s="71"/>
    <row r="646" ht="15.75" customHeight="1" s="71"/>
    <row r="647" ht="15.75" customHeight="1" s="71"/>
    <row r="648" ht="15.75" customHeight="1" s="71"/>
    <row r="649" ht="15.75" customHeight="1" s="71"/>
    <row r="650" ht="15.75" customHeight="1" s="71"/>
    <row r="651" ht="15.75" customHeight="1" s="71"/>
    <row r="652" ht="15.75" customHeight="1" s="71"/>
    <row r="653" ht="15.75" customHeight="1" s="71"/>
    <row r="654" ht="15.75" customHeight="1" s="71"/>
    <row r="655" ht="15.75" customHeight="1" s="71"/>
    <row r="656" ht="15.75" customHeight="1" s="71"/>
    <row r="657" ht="15.75" customHeight="1" s="71"/>
    <row r="658" ht="15.75" customHeight="1" s="71"/>
    <row r="659" ht="15.75" customHeight="1" s="71"/>
    <row r="660" ht="15.75" customHeight="1" s="71"/>
    <row r="661" ht="15.75" customHeight="1" s="71"/>
    <row r="662" ht="15.75" customHeight="1" s="71"/>
    <row r="663" ht="15.75" customHeight="1" s="71"/>
    <row r="664" ht="15.75" customHeight="1" s="71"/>
    <row r="665" ht="15.75" customHeight="1" s="71"/>
    <row r="666" ht="15.75" customHeight="1" s="71"/>
    <row r="667" ht="15.75" customHeight="1" s="71"/>
    <row r="668" ht="15.75" customHeight="1" s="71"/>
    <row r="669" ht="15.75" customHeight="1" s="71"/>
    <row r="670" ht="15.75" customHeight="1" s="71"/>
    <row r="671" ht="15.75" customHeight="1" s="71"/>
    <row r="672" ht="15.75" customHeight="1" s="71"/>
    <row r="673" ht="15.75" customHeight="1" s="71"/>
    <row r="674" ht="15.75" customHeight="1" s="71"/>
    <row r="675" ht="15.75" customHeight="1" s="71"/>
    <row r="676" ht="15.75" customHeight="1" s="71"/>
    <row r="677" ht="15.75" customHeight="1" s="71"/>
    <row r="678" ht="15.75" customHeight="1" s="71"/>
    <row r="679" ht="15.75" customHeight="1" s="71"/>
    <row r="680" ht="15.75" customHeight="1" s="71"/>
    <row r="681" ht="15.75" customHeight="1" s="71"/>
    <row r="682" ht="15.75" customHeight="1" s="71"/>
    <row r="683" ht="15.75" customHeight="1" s="71"/>
    <row r="684" ht="15.75" customHeight="1" s="71"/>
    <row r="685" ht="15.75" customHeight="1" s="71"/>
    <row r="686" ht="15.75" customHeight="1" s="71"/>
    <row r="687" ht="15.75" customHeight="1" s="71"/>
    <row r="688" ht="15.75" customHeight="1" s="71"/>
    <row r="689" ht="15.75" customHeight="1" s="71"/>
    <row r="690" ht="15.75" customHeight="1" s="71"/>
    <row r="691" ht="15.75" customHeight="1" s="71"/>
    <row r="692" ht="15.75" customHeight="1" s="71"/>
    <row r="693" ht="15.75" customHeight="1" s="71"/>
    <row r="694" ht="15.75" customHeight="1" s="71"/>
    <row r="695" ht="15.75" customHeight="1" s="71"/>
    <row r="696" ht="15.75" customHeight="1" s="71"/>
    <row r="697" ht="15.75" customHeight="1" s="71"/>
    <row r="698" ht="15.75" customHeight="1" s="71"/>
    <row r="699" ht="15.75" customHeight="1" s="71"/>
    <row r="700" ht="15.75" customHeight="1" s="71"/>
    <row r="701" ht="15.75" customHeight="1" s="71"/>
    <row r="702" ht="15.75" customHeight="1" s="71"/>
    <row r="703" ht="15.75" customHeight="1" s="71"/>
    <row r="704" ht="15.75" customHeight="1" s="71"/>
    <row r="705" ht="15.75" customHeight="1" s="71"/>
    <row r="706" ht="15.75" customHeight="1" s="71"/>
    <row r="707" ht="15.75" customHeight="1" s="71"/>
    <row r="708" ht="15.75" customHeight="1" s="71"/>
    <row r="709" ht="15.75" customHeight="1" s="71"/>
    <row r="710" ht="15.75" customHeight="1" s="71"/>
    <row r="711" ht="15.75" customHeight="1" s="71"/>
    <row r="712" ht="15.75" customHeight="1" s="71"/>
    <row r="713" ht="15.75" customHeight="1" s="71"/>
    <row r="714" ht="15.75" customHeight="1" s="71"/>
    <row r="715" ht="15.75" customHeight="1" s="71"/>
    <row r="716" ht="15.75" customHeight="1" s="71"/>
    <row r="717" ht="15.75" customHeight="1" s="71"/>
    <row r="718" ht="15.75" customHeight="1" s="71"/>
    <row r="719" ht="15.75" customHeight="1" s="71"/>
    <row r="720" ht="15.75" customHeight="1" s="71"/>
    <row r="721" ht="15.75" customHeight="1" s="71"/>
    <row r="722" ht="15.75" customHeight="1" s="71"/>
    <row r="723" ht="15.75" customHeight="1" s="71"/>
    <row r="724" ht="15.75" customHeight="1" s="71"/>
    <row r="725" ht="15.75" customHeight="1" s="71"/>
    <row r="726" ht="15.75" customHeight="1" s="71"/>
    <row r="727" ht="15.75" customHeight="1" s="71"/>
    <row r="728" ht="15.75" customHeight="1" s="71"/>
    <row r="729" ht="15.75" customHeight="1" s="71"/>
    <row r="730" ht="15.75" customHeight="1" s="71"/>
    <row r="731" ht="15.75" customHeight="1" s="71"/>
    <row r="732" ht="15.75" customHeight="1" s="71"/>
    <row r="733" ht="15.75" customHeight="1" s="71"/>
    <row r="734" ht="15.75" customHeight="1" s="71"/>
    <row r="735" ht="15.75" customHeight="1" s="71"/>
    <row r="736" ht="15.75" customHeight="1" s="71"/>
    <row r="737" ht="15.75" customHeight="1" s="71"/>
    <row r="738" ht="15.75" customHeight="1" s="71"/>
    <row r="739" ht="15.75" customHeight="1" s="71"/>
    <row r="740" ht="15.75" customHeight="1" s="71"/>
    <row r="741" ht="15.75" customHeight="1" s="71"/>
    <row r="742" ht="15.75" customHeight="1" s="71"/>
    <row r="743" ht="15.75" customHeight="1" s="71"/>
    <row r="744" ht="15.75" customHeight="1" s="71"/>
    <row r="745" ht="15.75" customHeight="1" s="71"/>
    <row r="746" ht="15.75" customHeight="1" s="71"/>
    <row r="747" ht="15.75" customHeight="1" s="71"/>
    <row r="748" ht="15.75" customHeight="1" s="71"/>
    <row r="749" ht="15.75" customHeight="1" s="71"/>
    <row r="750" ht="15.75" customHeight="1" s="71"/>
    <row r="751" ht="15.75" customHeight="1" s="71"/>
    <row r="752" ht="15.75" customHeight="1" s="71"/>
    <row r="753" ht="15.75" customHeight="1" s="71"/>
    <row r="754" ht="15.75" customHeight="1" s="71"/>
    <row r="755" ht="15.75" customHeight="1" s="71"/>
    <row r="756" ht="15.75" customHeight="1" s="71"/>
    <row r="757" ht="15.75" customHeight="1" s="71"/>
    <row r="758" ht="15.75" customHeight="1" s="71"/>
    <row r="759" ht="15.75" customHeight="1" s="71"/>
    <row r="760" ht="15.75" customHeight="1" s="71"/>
    <row r="761" ht="15.75" customHeight="1" s="71"/>
    <row r="762" ht="15.75" customHeight="1" s="71"/>
    <row r="763" ht="15.75" customHeight="1" s="71"/>
    <row r="764" ht="15.75" customHeight="1" s="71"/>
    <row r="765" ht="15.75" customHeight="1" s="71"/>
    <row r="766" ht="15.75" customHeight="1" s="71"/>
    <row r="767" ht="15.75" customHeight="1" s="71"/>
    <row r="768" ht="15.75" customHeight="1" s="71"/>
    <row r="769" ht="15.75" customHeight="1" s="71"/>
    <row r="770" ht="15.75" customHeight="1" s="71"/>
    <row r="771" ht="15.75" customHeight="1" s="71"/>
    <row r="772" ht="15.75" customHeight="1" s="71"/>
    <row r="773" ht="15.75" customHeight="1" s="71"/>
    <row r="774" ht="15.75" customHeight="1" s="71"/>
    <row r="775" ht="15.75" customHeight="1" s="71"/>
    <row r="776" ht="15.75" customHeight="1" s="71"/>
    <row r="777" ht="15.75" customHeight="1" s="71"/>
    <row r="778" ht="15.75" customHeight="1" s="71"/>
    <row r="779" ht="15.75" customHeight="1" s="71"/>
    <row r="780" ht="15.75" customHeight="1" s="71"/>
    <row r="781" ht="15.75" customHeight="1" s="71"/>
    <row r="782" ht="15.75" customHeight="1" s="71"/>
    <row r="783" ht="15.75" customHeight="1" s="71"/>
    <row r="784" ht="15.75" customHeight="1" s="71"/>
    <row r="785" ht="15.75" customHeight="1" s="71"/>
    <row r="786" ht="15.75" customHeight="1" s="71"/>
    <row r="787" ht="15.75" customHeight="1" s="71"/>
    <row r="788" ht="15.75" customHeight="1" s="71"/>
    <row r="789" ht="15.75" customHeight="1" s="71"/>
    <row r="790" ht="15.75" customHeight="1" s="71"/>
    <row r="791" ht="15.75" customHeight="1" s="71"/>
    <row r="792" ht="15.75" customHeight="1" s="71"/>
    <row r="793" ht="15.75" customHeight="1" s="71"/>
    <row r="794" ht="15.75" customHeight="1" s="71"/>
    <row r="795" ht="15.75" customHeight="1" s="71"/>
    <row r="796" ht="15.75" customHeight="1" s="71"/>
    <row r="797" ht="15.75" customHeight="1" s="71"/>
    <row r="798" ht="15.75" customHeight="1" s="71"/>
    <row r="799" ht="15.75" customHeight="1" s="71"/>
    <row r="800" ht="15.75" customHeight="1" s="71"/>
    <row r="801" ht="15.75" customHeight="1" s="71"/>
    <row r="802" ht="15.75" customHeight="1" s="71"/>
    <row r="803" ht="15.75" customHeight="1" s="71"/>
    <row r="804" ht="15.75" customHeight="1" s="71"/>
    <row r="805" ht="15.75" customHeight="1" s="71"/>
    <row r="806" ht="15.75" customHeight="1" s="71"/>
    <row r="807" ht="15.75" customHeight="1" s="71"/>
    <row r="808" ht="15.75" customHeight="1" s="71"/>
    <row r="809" ht="15.75" customHeight="1" s="71"/>
    <row r="810" ht="15.75" customHeight="1" s="71"/>
    <row r="811" ht="15.75" customHeight="1" s="71"/>
    <row r="812" ht="15.75" customHeight="1" s="71"/>
    <row r="813" ht="15.75" customHeight="1" s="71"/>
    <row r="814" ht="15.75" customHeight="1" s="71"/>
    <row r="815" ht="15.75" customHeight="1" s="71"/>
    <row r="816" ht="15.75" customHeight="1" s="71"/>
    <row r="817" ht="15.75" customHeight="1" s="71"/>
    <row r="818" ht="15.75" customHeight="1" s="71"/>
    <row r="819" ht="15.75" customHeight="1" s="71"/>
    <row r="820" ht="15.75" customHeight="1" s="71"/>
    <row r="821" ht="15.75" customHeight="1" s="71"/>
    <row r="822" ht="15.75" customHeight="1" s="71"/>
    <row r="823" ht="15.75" customHeight="1" s="71"/>
    <row r="824" ht="15.75" customHeight="1" s="71"/>
    <row r="825" ht="15.75" customHeight="1" s="71"/>
    <row r="826" ht="15.75" customHeight="1" s="71"/>
    <row r="827" ht="15.75" customHeight="1" s="71"/>
    <row r="828" ht="15.75" customHeight="1" s="71"/>
    <row r="829" ht="15.75" customHeight="1" s="71"/>
    <row r="830" ht="15.75" customHeight="1" s="71"/>
    <row r="831" ht="15.75" customHeight="1" s="71"/>
    <row r="832" ht="15.75" customHeight="1" s="71"/>
    <row r="833" ht="15.75" customHeight="1" s="71"/>
    <row r="834" ht="15.75" customHeight="1" s="71"/>
    <row r="835" ht="15.75" customHeight="1" s="71"/>
    <row r="836" ht="15.75" customHeight="1" s="71"/>
    <row r="837" ht="15.75" customHeight="1" s="71"/>
    <row r="838" ht="15.75" customHeight="1" s="71"/>
    <row r="839" ht="15.75" customHeight="1" s="71"/>
    <row r="840" ht="15.75" customHeight="1" s="71"/>
    <row r="841" ht="15.75" customHeight="1" s="71"/>
    <row r="842" ht="15.75" customHeight="1" s="71"/>
    <row r="843" ht="15.75" customHeight="1" s="71"/>
    <row r="844" ht="15.75" customHeight="1" s="71"/>
    <row r="845" ht="15.75" customHeight="1" s="71"/>
    <row r="846" ht="15.75" customHeight="1" s="71"/>
    <row r="847" ht="15.75" customHeight="1" s="71"/>
    <row r="848" ht="15.75" customHeight="1" s="71"/>
    <row r="849" ht="15.75" customHeight="1" s="71"/>
    <row r="850" ht="15.75" customHeight="1" s="71"/>
    <row r="851" ht="15.75" customHeight="1" s="71"/>
    <row r="852" ht="15.75" customHeight="1" s="71"/>
    <row r="853" ht="15.75" customHeight="1" s="71"/>
    <row r="854" ht="15.75" customHeight="1" s="71"/>
    <row r="855" ht="15.75" customHeight="1" s="71"/>
    <row r="856" ht="15.75" customHeight="1" s="71"/>
    <row r="857" ht="15.75" customHeight="1" s="71"/>
    <row r="858" ht="15.75" customHeight="1" s="71"/>
    <row r="859" ht="15.75" customHeight="1" s="71"/>
    <row r="860" ht="15.75" customHeight="1" s="71"/>
    <row r="861" ht="15.75" customHeight="1" s="71"/>
    <row r="862" ht="15.75" customHeight="1" s="71"/>
    <row r="863" ht="15.75" customHeight="1" s="71"/>
    <row r="864" ht="15.75" customHeight="1" s="71"/>
    <row r="865" ht="15.75" customHeight="1" s="71"/>
    <row r="866" ht="15.75" customHeight="1" s="71"/>
    <row r="867" ht="15.75" customHeight="1" s="71"/>
    <row r="868" ht="15.75" customHeight="1" s="71"/>
    <row r="869" ht="15.75" customHeight="1" s="71"/>
    <row r="870" ht="15.75" customHeight="1" s="71"/>
    <row r="871" ht="15.75" customHeight="1" s="71"/>
    <row r="872" ht="15.75" customHeight="1" s="71"/>
    <row r="873" ht="15.75" customHeight="1" s="71"/>
    <row r="874" ht="15.75" customHeight="1" s="71"/>
    <row r="875" ht="15.75" customHeight="1" s="71"/>
    <row r="876" ht="15.75" customHeight="1" s="71"/>
    <row r="877" ht="15.75" customHeight="1" s="71"/>
    <row r="878" ht="15.75" customHeight="1" s="71"/>
    <row r="879" ht="15.75" customHeight="1" s="71"/>
    <row r="880" ht="15.75" customHeight="1" s="71"/>
    <row r="881" ht="15.75" customHeight="1" s="71"/>
    <row r="882" ht="15.75" customHeight="1" s="71"/>
    <row r="883" ht="15.75" customHeight="1" s="71"/>
    <row r="884" ht="15.75" customHeight="1" s="71"/>
    <row r="885" ht="15.75" customHeight="1" s="71"/>
    <row r="886" ht="15.75" customHeight="1" s="71"/>
    <row r="887" ht="15.75" customHeight="1" s="71"/>
    <row r="888" ht="15.75" customHeight="1" s="71"/>
    <row r="889" ht="15.75" customHeight="1" s="71"/>
    <row r="890" ht="15.75" customHeight="1" s="71"/>
    <row r="891" ht="15.75" customHeight="1" s="71"/>
    <row r="892" ht="15.75" customHeight="1" s="71"/>
    <row r="893" ht="15.75" customHeight="1" s="71"/>
    <row r="894" ht="15.75" customHeight="1" s="71"/>
    <row r="895" ht="15.75" customHeight="1" s="71"/>
    <row r="896" ht="15.75" customHeight="1" s="71"/>
    <row r="897" ht="15.75" customHeight="1" s="71"/>
    <row r="898" ht="15.75" customHeight="1" s="71"/>
    <row r="899" ht="15.75" customHeight="1" s="71"/>
    <row r="900" ht="15.75" customHeight="1" s="71"/>
    <row r="901" ht="15.75" customHeight="1" s="71"/>
    <row r="902" ht="15.75" customHeight="1" s="71"/>
    <row r="903" ht="15.75" customHeight="1" s="71"/>
    <row r="904" ht="15.75" customHeight="1" s="71"/>
    <row r="905" ht="15.75" customHeight="1" s="71"/>
    <row r="906" ht="15.75" customHeight="1" s="71"/>
    <row r="907" ht="15.75" customHeight="1" s="71"/>
    <row r="908" ht="15.75" customHeight="1" s="71"/>
    <row r="909" ht="15.75" customHeight="1" s="71"/>
    <row r="910" ht="15.75" customHeight="1" s="71"/>
    <row r="911" ht="15.75" customHeight="1" s="71"/>
    <row r="912" ht="15.75" customHeight="1" s="71"/>
    <row r="913" ht="15.75" customHeight="1" s="71"/>
    <row r="914" ht="15.75" customHeight="1" s="71"/>
    <row r="915" ht="15.75" customHeight="1" s="71"/>
    <row r="916" ht="15.75" customHeight="1" s="71"/>
    <row r="917" ht="15.75" customHeight="1" s="71"/>
    <row r="918" ht="15.75" customHeight="1" s="71"/>
    <row r="919" ht="15.75" customHeight="1" s="71"/>
    <row r="920" ht="15.75" customHeight="1" s="71"/>
    <row r="921" ht="15.75" customHeight="1" s="71"/>
    <row r="922" ht="15.75" customHeight="1" s="71"/>
    <row r="923" ht="15.75" customHeight="1" s="71"/>
    <row r="924" ht="15.75" customHeight="1" s="71"/>
    <row r="925" ht="15.75" customHeight="1" s="71"/>
    <row r="926" ht="15.75" customHeight="1" s="71"/>
    <row r="927" ht="15.75" customHeight="1" s="71"/>
    <row r="928" ht="15.75" customHeight="1" s="71"/>
    <row r="929" ht="15.75" customHeight="1" s="71"/>
    <row r="930" ht="15.75" customHeight="1" s="71"/>
    <row r="931" ht="15.75" customHeight="1" s="71"/>
    <row r="932" ht="15.75" customHeight="1" s="71"/>
    <row r="933" ht="15.75" customHeight="1" s="71"/>
    <row r="934" ht="15.75" customHeight="1" s="71"/>
    <row r="935" ht="15.75" customHeight="1" s="71"/>
    <row r="936" ht="15.75" customHeight="1" s="71"/>
    <row r="937" ht="15.75" customHeight="1" s="71"/>
    <row r="938" ht="15.75" customHeight="1" s="71"/>
    <row r="939" ht="15.75" customHeight="1" s="71"/>
    <row r="940" ht="15.75" customHeight="1" s="71"/>
    <row r="941" ht="15.75" customHeight="1" s="71"/>
    <row r="942" ht="15.75" customHeight="1" s="71"/>
    <row r="943" ht="15.75" customHeight="1" s="71"/>
    <row r="944" ht="15.75" customHeight="1" s="71"/>
    <row r="945" ht="15.75" customHeight="1" s="71"/>
    <row r="946" ht="15.75" customHeight="1" s="71"/>
    <row r="947" ht="15.75" customHeight="1" s="71"/>
    <row r="948" ht="15.75" customHeight="1" s="71"/>
    <row r="949" ht="15.75" customHeight="1" s="71"/>
    <row r="950" ht="15.75" customHeight="1" s="71"/>
    <row r="951" ht="15.75" customHeight="1" s="71"/>
    <row r="952" ht="15.75" customHeight="1" s="71"/>
    <row r="953" ht="15.75" customHeight="1" s="71"/>
    <row r="954" ht="15.75" customHeight="1" s="71"/>
    <row r="955" ht="15.75" customHeight="1" s="71"/>
    <row r="956" ht="15.75" customHeight="1" s="71"/>
    <row r="957" ht="15.75" customHeight="1" s="71"/>
    <row r="958" ht="15.75" customHeight="1" s="71"/>
    <row r="959" ht="15.75" customHeight="1" s="71"/>
    <row r="960" ht="15.75" customHeight="1" s="71"/>
    <row r="961" ht="15.75" customHeight="1" s="71"/>
    <row r="962" ht="15.75" customHeight="1" s="71"/>
    <row r="963" ht="15.75" customHeight="1" s="71"/>
    <row r="964" ht="15.75" customHeight="1" s="71"/>
    <row r="965" ht="15.75" customHeight="1" s="71"/>
    <row r="966" ht="15.75" customHeight="1" s="71"/>
    <row r="967" ht="15.75" customHeight="1" s="71"/>
    <row r="968" ht="15.75" customHeight="1" s="71"/>
    <row r="969" ht="15.75" customHeight="1" s="71"/>
    <row r="970" ht="15.75" customHeight="1" s="71"/>
    <row r="971" ht="15.75" customHeight="1" s="71"/>
    <row r="972" ht="15.75" customHeight="1" s="71"/>
    <row r="973" ht="15.75" customHeight="1" s="71"/>
    <row r="974" ht="15.75" customHeight="1" s="71"/>
    <row r="975" ht="15.75" customHeight="1" s="71"/>
    <row r="976" ht="15.75" customHeight="1" s="71"/>
    <row r="977" ht="15.75" customHeight="1" s="71"/>
    <row r="978" ht="15.75" customHeight="1" s="71"/>
    <row r="979" ht="15.75" customHeight="1" s="71"/>
    <row r="980" ht="15.75" customHeight="1" s="71"/>
    <row r="981" ht="15.75" customHeight="1" s="71"/>
    <row r="982" ht="15.75" customHeight="1" s="71"/>
    <row r="983" ht="15.75" customHeight="1" s="71"/>
    <row r="984" ht="15.75" customHeight="1" s="71"/>
    <row r="985" ht="15.75" customHeight="1" s="71"/>
    <row r="986" ht="15.75" customHeight="1" s="71"/>
    <row r="987" ht="15.75" customHeight="1" s="71"/>
    <row r="988" ht="15.75" customHeight="1" s="71"/>
    <row r="989" ht="15.75" customHeight="1" s="71"/>
    <row r="990" ht="15.75" customHeight="1" s="71"/>
    <row r="991" ht="15.75" customHeight="1" s="71"/>
    <row r="992" ht="15.75" customHeight="1" s="71"/>
    <row r="993" ht="15.75" customHeight="1" s="71"/>
    <row r="994" ht="15.75" customHeight="1" s="71"/>
    <row r="995" ht="15.75" customHeight="1" s="71"/>
    <row r="996" ht="15.75" customHeight="1" s="71"/>
    <row r="997" ht="15.75" customHeight="1" s="71"/>
    <row r="998" ht="15.75" customHeight="1" s="71"/>
    <row r="999" ht="15.75" customHeight="1" s="71"/>
    <row r="1000" ht="15.75" customHeight="1" s="71"/>
  </sheetData>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D31"/>
  <sheetViews>
    <sheetView zoomScaleNormal="100" workbookViewId="0">
      <pane ySplit="1" topLeftCell="A25" activePane="bottomLeft" state="frozen"/>
      <selection pane="bottomLeft" activeCell="C34" sqref="C34"/>
    </sheetView>
  </sheetViews>
  <sheetFormatPr baseColWidth="8" defaultColWidth="14.42578125" defaultRowHeight="15"/>
  <cols>
    <col width="20" customWidth="1" style="71" min="1" max="1"/>
    <col width="44" customWidth="1" style="71" min="2" max="2"/>
    <col width="92" customWidth="1" style="71" min="3" max="3"/>
    <col width="38" customWidth="1" style="71" min="4" max="4"/>
    <col width="8.7109375" customWidth="1" style="71" min="5" max="26"/>
  </cols>
  <sheetData>
    <row r="1" ht="33.75" customHeight="1" s="71">
      <c r="A1" s="15" t="inlineStr">
        <is>
          <t>Prompt</t>
        </is>
      </c>
      <c r="B1" s="15" t="inlineStr">
        <is>
          <t>Use this when</t>
        </is>
      </c>
      <c r="C1" s="15" t="inlineStr">
        <is>
          <t>Prompt text</t>
        </is>
      </c>
      <c r="D1" s="15" t="inlineStr">
        <is>
          <t>My notes</t>
        </is>
      </c>
    </row>
    <row r="2" ht="79.5" customHeight="1" s="71">
      <c r="A2" s="32" t="inlineStr">
        <is>
          <t>Tutor</t>
        </is>
      </c>
      <c r="B2" s="33" t="inlineStr">
        <is>
          <t>use when you half-understand something.</t>
        </is>
      </c>
      <c r="C2" s="33" t="inlineStr">
        <is>
          <t>I'm learning `[CONCEPT]` as a junior product manager. I'll explain it as I understand it. Find every place my explanation is vague, hand-wavy or wrong, and ask me questions until I either fix it or admit I don't know. Don't give me the answer straight away.</t>
        </is>
      </c>
      <c r="D2" s="33" t="inlineStr">
        <is>
          <t>Structural pattern: placeholder [CONCEPT]; frames the user's own role ("junior product manager"); blocks the lazy shortcut of Claude just giving the answer; ends on a repeatable Q&amp;A loop rather than a one-off output.</t>
        </is>
      </c>
    </row>
    <row r="3" ht="79.5" customHeight="1" s="71">
      <c r="A3" s="34" t="inlineStr">
        <is>
          <t>Quiz</t>
        </is>
      </c>
      <c r="B3" s="35" t="inlineStr">
        <is>
          <t>use before a checkpoint.</t>
        </is>
      </c>
      <c r="C3" s="35" t="inlineStr">
        <is>
          <t>Quiz me on `[TOPIC]`. Ten questions, one at a time, waiting for my answer before the next. Mix recall and application. At the end, tell me which two areas I should revisit.</t>
        </is>
      </c>
      <c r="D3" s="35" t="inlineStr">
        <is>
          <t>Structural pattern: placeholder [TOPIC]; blocks the lazy shortcut of dumping all questions at once ("one at a time, waiting for my answer"); ends on a specific, bounded deliverable (two areas to revisit).</t>
        </is>
      </c>
    </row>
    <row r="4" ht="79.5" customHeight="1" s="71">
      <c r="A4" s="32" t="inlineStr">
        <is>
          <t>Critique</t>
        </is>
      </c>
      <c r="B4" s="33" t="inlineStr">
        <is>
          <t>use on any screen.</t>
        </is>
      </c>
      <c r="C4" s="33" t="inlineStr">
        <is>
          <t>Here's a screen our designer has produced: `[DESCRIPTION OR IMAGE]`. Critique it as a product lead would — hierarchy, spacing, alignment, contrast, missing states, accessibility. Be specific. Separate what's objectively wrong from what's your preference.</t>
        </is>
      </c>
      <c r="D4" s="33" t="inlineStr">
        <is>
          <t>Structural pattern: placeholder [DESCRIPTION OR IMAGE]; assigns Claude a role ("as a product lead would"); blocks the lazy shortcut of vague or opinion-blended feedback ("be specific, separate objective from preference"); deliverable spans named criteria (hierarchy, spacing, etc.).</t>
        </is>
      </c>
    </row>
    <row r="5" ht="79.5" customHeight="1" s="71">
      <c r="A5" s="34" t="inlineStr">
        <is>
          <t>Self-critique check</t>
        </is>
      </c>
      <c r="B5" s="35" t="inlineStr">
        <is>
          <t>use after your own review.</t>
        </is>
      </c>
      <c r="C5" s="35" t="inlineStr">
        <is>
          <t>Here's my critique of a screen. What did I miss, and where am I stating personal preference as if it were an established principle?</t>
        </is>
      </c>
      <c r="D5" s="35" t="inlineStr">
        <is>
          <t>Structural pattern: no placeholder — relies on the prior critique already in the conversation; no explicit role; blocks the lazy shortcut of treating personal preference as objective principle; ends on two pointed, specific questions.</t>
        </is>
      </c>
    </row>
    <row r="6" ht="79.5" customHeight="1" s="71">
      <c r="A6" s="32" t="inlineStr">
        <is>
          <t>Diverge</t>
        </is>
      </c>
      <c r="B6" s="33" t="inlineStr">
        <is>
          <t>use when ideating.</t>
        </is>
      </c>
      <c r="C6" s="33" t="inlineStr">
        <is>
          <t>Here's my problem statement: `[STATEMENT]`. Give me 25 distinct solution directions, including at least 5 that are deliberately impractical. Don't evaluate any of them.</t>
        </is>
      </c>
      <c r="D6" s="33" t="inlineStr">
        <is>
          <t>Structural pattern: placeholder [STATEMENT]; no role; blocks the lazy shortcut of premature judgment ("don't evaluate any of them"); deliverable is a specific count (25, incl. 5 deliberately impractical).</t>
        </is>
      </c>
    </row>
    <row r="7" ht="79.5" customHeight="1" s="71">
      <c r="A7" s="34" t="inlineStr">
        <is>
          <t>Devil's advocate</t>
        </is>
      </c>
      <c r="B7" s="35" t="inlineStr">
        <is>
          <t>use before committing to a decision.</t>
        </is>
      </c>
      <c r="C7" s="35" t="inlineStr">
        <is>
          <t>I've decided `[DECISION]` because `[REASONING]`. Argue the strongest possible case against it. Then tell me what evidence would settle the question.</t>
        </is>
      </c>
      <c r="D7" s="35" t="inlineStr">
        <is>
          <t>Structural pattern: two placeholders [DECISION]/[REASONING]; implicit adversarial role ("strongest possible case against it"); blocks a weak/strawman counterargument; ends on a specific, actionable follow-up (evidence that would settle it).</t>
        </is>
      </c>
    </row>
    <row r="8" ht="79.5" customHeight="1" s="71">
      <c r="A8" s="32" t="inlineStr">
        <is>
          <t>Play the developer</t>
        </is>
      </c>
      <c r="B8" s="33" t="inlineStr">
        <is>
          <t>use before handoff.</t>
        </is>
      </c>
      <c r="C8" s="33" t="inlineStr">
        <is>
          <t>You're a frontend developer receiving this specification. Ask me every question you'd need answered before you could start building.</t>
        </is>
      </c>
      <c r="D8" s="33" t="inlineStr">
        <is>
          <t>Structural pattern: no placeholder — relies on a spec already shared in context; explicit role ("you're a frontend developer"); blocks the lazy shortcut of asking only one surface-level question ("every question"); deliverable is an exhaustive question list.</t>
        </is>
      </c>
    </row>
    <row r="9" ht="79.5" customHeight="1" s="71">
      <c r="A9" s="34" t="inlineStr">
        <is>
          <t>Play the client</t>
        </is>
      </c>
      <c r="B9" s="35" t="inlineStr">
        <is>
          <t>use before a presentation.</t>
        </is>
      </c>
      <c r="C9" s="35" t="inlineStr">
        <is>
          <t>You're a thorough client who wrote the original brief. I'll present my work. Ask me the three hardest questions, including at least one about cost or timeline.</t>
        </is>
      </c>
      <c r="D9" s="35" t="inlineStr">
        <is>
          <t>Structural pattern: no placeholder; explicit role ("thorough client"); blocks softball questions ("hardest questions"); deliverable is a bounded count (three) with a sub-constraint (at least one on cost/timeline).</t>
        </is>
      </c>
    </row>
    <row r="10" ht="79.5" customHeight="1" s="71">
      <c r="A10" s="32" t="inlineStr">
        <is>
          <t>Requirements check</t>
        </is>
      </c>
      <c r="B10" s="33" t="inlineStr">
        <is>
          <t>use on any spec.</t>
        </is>
      </c>
      <c r="C10" s="33" t="inlineStr">
        <is>
          <t>Review this document. Which requirements are actually solutions in disguise? Which are vague enough that two developers would build different things?</t>
        </is>
      </c>
      <c r="D10" s="33" t="inlineStr">
        <is>
          <t>Structural pattern: no placeholder — relies on "this document" from context; no role; the two diagnostic questions themselves block a generic "looks fine" response; deliverable is two specific requirement-quality categories.</t>
        </is>
      </c>
    </row>
    <row r="11" ht="79.5" customHeight="1" s="71">
      <c r="A11" s="34" t="inlineStr">
        <is>
          <t>Verify</t>
        </is>
      </c>
      <c r="B11" s="35" t="inlineStr">
        <is>
          <t>use on anything factual.</t>
        </is>
      </c>
      <c r="C11" s="35" t="inlineStr">
        <is>
          <t>For each factual claim in your last response, tell me how confident you are and what I should independently check before relying on it.</t>
        </is>
      </c>
      <c r="D11" s="35" t="inlineStr">
        <is>
          <t>Structural pattern: no placeholder — refers to "your last response" from context; no role; forces per-claim granularity instead of one blanket confidence statement; deliverable is confidence + a specific check, per claim.</t>
        </is>
      </c>
    </row>
    <row r="12" ht="79.5" customHeight="1" s="71">
      <c r="A12" s="32" t="inlineStr">
        <is>
          <t>Compare techniques</t>
        </is>
      </c>
      <c r="B12" s="33" t="inlineStr">
        <is>
          <t>use when learning a tool.</t>
        </is>
      </c>
      <c r="C12" s="33" t="inlineStr">
        <is>
          <t>I'm going to give you four versions of a prompt for the same task. Tell me which is best and, more importantly, why the extra complexity in the others did or didn't earn its place.</t>
        </is>
      </c>
      <c r="D12" s="33" t="inlineStr">
        <is>
          <t>Structural pattern: no placeholder — the four prompt versions arrive in a later turn; no role; blocks a bare ranking without justification ("more importantly, why"); deliverable is a ranking plus a complexity/value judgment.</t>
        </is>
      </c>
    </row>
    <row r="13" ht="79.5" customHeight="1" s="71">
      <c r="A13" s="34" t="inlineStr">
        <is>
          <t>Reduce</t>
        </is>
      </c>
      <c r="B13" s="35" t="inlineStr">
        <is>
          <t>use when your work is bloated.</t>
        </is>
      </c>
      <c r="C13" s="35" t="inlineStr">
        <is>
          <t>Here's my `[DOCUMENT / SCREEN / FLOW]`. What could I remove entirely without losing anything the user needs? Be aggressive.</t>
        </is>
      </c>
      <c r="D13" s="35" t="inlineStr">
        <is>
          <t>Structural pattern: placeholder [DOCUMENT / SCREEN / FLOW]; no role; blocks a timid, minimal-cuts answer ("be aggressive"); deliverable is an implicit list of removable items.</t>
        </is>
      </c>
    </row>
    <row r="14" ht="15" customHeight="1" s="71">
      <c r="A14" s="36" t="inlineStr">
        <is>
          <t>[ add your own below ]</t>
        </is>
      </c>
      <c r="B14" s="11" t="n"/>
      <c r="C14" s="11" t="n"/>
      <c r="D14" s="11" t="n"/>
    </row>
    <row r="15" ht="79.5" customHeight="1" s="71">
      <c r="A15" s="34" t="inlineStr">
        <is>
          <t>Blocker template</t>
        </is>
      </c>
      <c r="B15" s="35" t="inlineStr">
        <is>
          <t>use when you're stuck and about to ask someone for help.</t>
        </is>
      </c>
      <c r="C15" s="35" t="inlineStr">
        <is>
          <t>Urgency: [blocking me right now / can wait until EOD / no rush]
What I'm trying to achieve: [one sentence — the actual goal]
What I've tried: [2-3 bullets max, most recent first]
What happened: [the actual result — error, output, behavior — not just 'it didn't work']
What I think the issue is, and what I've ruled out: [best guess + what you already checked and why it's not that]
Attached: [link, screenshot, or log, if relevant]
What I need from you, and in what form: [a specific ask — e.g. 'a yes/no', 'review this one line', 'point me to who owns X' — not just 'sanity check']</t>
        </is>
      </c>
      <c r="D15" s="35" t="inlineStr">
        <is>
          <t>For blocker messages to a mentor/colleague. v2 — tightened after Claude stress-tested v1 (Step 4, Task 0.6): added urgency, bounded length, ruled-out reasoning, an attachment slot, and a specific answer format. Structural pattern: the most placeholder-dense entry of the 14 (six bracketed fields) — functions as a fill-in-the-blank message template rather than a prompt that generates new content.</t>
        </is>
      </c>
    </row>
    <row r="16" ht="79.5" customHeight="1" s="71">
      <c r="A16" s="34" t="inlineStr">
        <is>
          <t>Default skeleton</t>
        </is>
      </c>
      <c r="B16" s="35" t="inlineStr">
        <is>
          <t>use as your default checklist before writing any prompt, so you don't skip a part.</t>
        </is>
      </c>
      <c r="C16" s="35" t="inlineStr">
        <is>
          <t>Role · Context · Task · Format · Constraints</t>
        </is>
      </c>
      <c r="D16" s="35" t="inlineStr">
        <is>
          <t>Role = who Claude should act as. Context = background it needs. Task = the actual instruction. Format = how the output should look. Constraints = rules/limits it must follow. Structural pattern: the outlier of the 14 — a five-part checklist/framework to consult before writing a prompt, not a fill-in-the-blank prompt itself; no bracketed placeholders.</t>
        </is>
      </c>
    </row>
    <row r="17" ht="79.5" customHeight="1" s="71">
      <c r="A17" s="34" t="inlineStr">
        <is>
          <t>My Tutor</t>
        </is>
      </c>
      <c r="B17" s="35" t="inlineStr">
        <is>
          <t>use when you want Claude to interrogate your own explanation of something you half-understand, rather than react to a lazy request.</t>
        </is>
      </c>
      <c r="C17" s="35" t="inlineStr">
        <is>
          <t>Your role is direct me towards the right understanding towards a concept [CONCEPT] which is half understood by me. Your task is to find every vague, hand-wavy or wrong part and ask follow-up questions about it, until its tightened up or I admit that I dont know about it. Write the answer in a multiple paragraph format, i.e one paragraph for each issue, never correct me or hand over the answer.</t>
        </is>
      </c>
      <c r="D17" s="35" t="inlineStr">
        <is>
          <t>Built during Task 1.7 by having Claude interrogate a live explanation ("why PMs use Jira") across three rounds of questions until it was tightened up. Structural pattern: placeholder [CONCEPT]; blocks Claude from correcting directly or handing over the answer; explicit format rule for multi-issue responses (one paragraph per issue); stopping condition is either/or (tightened up OR admit not knowing), not both. Sits alongside the pre-built "Tutor" template above — built independently, landed on the same core shape.</t>
        </is>
      </c>
    </row>
    <row r="18" ht="79.5" customHeight="1" s="71">
      <c r="A18" s="34" t="inlineStr">
        <is>
          <t>Quiz Me (mine)</t>
        </is>
      </c>
      <c r="B18" s="35" t="inlineStr">
        <is>
          <t>use when you want Claude to actively test your understanding of a topic, rather than you supplying the explanation first.</t>
        </is>
      </c>
      <c r="C18" s="35" t="inlineStr">
        <is>
          <t>You are a Quiz Master who generates questions about a topic and judges my answers on the topic [TOPIC]. You need to ask one question at a time, explain the correct answer if I am wrong, move on if I am right; after a few correct in a row, ask if I want harder questions; keep going until you are confident that I understand the concept. Label each question as 'Q1', 'Q2' etc. Never drift from the core topic and never reveal the correct answer before I have replied.</t>
        </is>
      </c>
      <c r="D18" s="35" t="inlineStr">
        <is>
          <t>Built during Task 1.7 alongside the Tutor prompt above, as the inverse case — Claude initiates the questions instead of reacting to an explanation. Structural pattern: placeholder [TOPIC]; role covers both halves of the job (asks questions AND judges answers); branching task logic (explain if wrong / advance if right / offer harder questions after a streak); adaptive difficulty is a deliberate added behavior, not a constraint; the exit condition is Claude's own confidence in my understanding, not my self-declared confidence — an early draft accidentally let the quiz-taker self-certify, which would have defeated the point.</t>
        </is>
      </c>
    </row>
    <row r="19" ht="79.5" customHeight="1" s="71">
      <c r="A19" s="34" t="inlineStr">
        <is>
          <t>Extract &amp; Build from Attachment</t>
        </is>
      </c>
      <c r="B19" s="35" t="inlineStr">
        <is>
          <t>You need to extract something specific from an attached file and use it to build a new output — not locked to any one output type.</t>
        </is>
      </c>
      <c r="C19" s="35" t="inlineStr">
        <is>
          <t>From the attached [FILE], extract [WHAT TO PULL OUT] and use it to build [OUTPUT TYPE].</t>
        </is>
      </c>
      <c r="D19" s="35" t="inlineStr">
        <is>
          <t>Built during Task 1.9 from Task 1.5's Attachments example; renamed and broadened during the Step 4 library review (originally titled "Web Page format extraction" and hard-coded to a web-page output). Structural pattern: three placeholders — [FILE], [WHAT TO PULL OUT], [OUTPUT TYPE] — generalizes beyond web pages to any extract-then-build task.</t>
        </is>
      </c>
    </row>
    <row r="20" ht="79.5" customHeight="1" s="71">
      <c r="A20" s="34" t="inlineStr">
        <is>
          <t>Quick Topic Update via Web Search</t>
        </is>
      </c>
      <c r="B20" s="35" t="inlineStr">
        <is>
          <t>You need a quick update on a topic.</t>
        </is>
      </c>
      <c r="C20" s="35" t="inlineStr">
        <is>
          <t>Give me the latest updates regarding [TOPIC].</t>
        </is>
      </c>
      <c r="D20" s="35" t="inlineStr">
        <is>
          <t>Built during Task 1.9 from Task 1.5's Web search example. Structural pattern: single placeholder [TOPIC]; generalized from a narrow example (AI automation in infrastructure) into a topic-agnostic template.</t>
        </is>
      </c>
    </row>
    <row r="21" ht="79.5" customHeight="1" s="71">
      <c r="A21" s="34" t="inlineStr">
        <is>
          <t>Build &amp; Test an Artifact</t>
        </is>
      </c>
      <c r="B21" s="35" t="inlineStr">
        <is>
          <t>You need to build and test a template before making the final product.</t>
        </is>
      </c>
      <c r="C21" s="35" t="inlineStr">
        <is>
          <t>Create an [Artifact Type] which does this [Function] based on this [input].</t>
        </is>
      </c>
      <c r="D21" s="35" t="inlineStr">
        <is>
          <t>Built during Task 1.9 from Task 1.5's Artifacts example; renamed during the Step 4 library review (originally titled "Side panel feature", which described the UI mechanism rather than the prompt's function). Structural pattern: three placeholders — [Artifact Type], [Function], [input] — separating what's built, what it does, and what it takes in, generalized from a one-off compound-interest calculator.</t>
        </is>
      </c>
    </row>
    <row r="22" ht="79.5" customHeight="1" s="71">
      <c r="A22" s="34" t="inlineStr">
        <is>
          <t>Multi-Factor Tradeoff Analysis</t>
        </is>
      </c>
      <c r="B22" s="35" t="inlineStr">
        <is>
          <t>A decision has more than one dimension (cost, risk, timeline, etc.) and you need them synthesized into a single call.</t>
        </is>
      </c>
      <c r="C22" s="35" t="inlineStr">
        <is>
          <t>Considering [FACTOR A], [FACTOR B], and [FACTOR C], what's the best way to approach [SITUATION]?</t>
        </is>
      </c>
      <c r="D22" s="35" t="inlineStr">
        <is>
          <t>Built during Task 1.9 from Task 1.5's Extended Thinking example. Reshaped from a single-topic explainer into a true multi-factor tradeoff prompt so the prompt text actually matches the reasoning for reaching for Extended Thinking. Structural pattern: three factor placeholders plus [SITUATION].</t>
        </is>
      </c>
    </row>
    <row r="23" ht="79.5" customHeight="1" s="71">
      <c r="A23" s="34" t="inlineStr">
        <is>
          <t>Write in My Voice</t>
        </is>
      </c>
      <c r="B23" s="35" t="inlineStr">
        <is>
          <t>You need the output to sound like you actually wrote it — tone, phrasing, and format included.</t>
        </is>
      </c>
      <c r="C23" s="35" t="inlineStr">
        <is>
          <t>Write [MESSAGE TYPE] to [RECIPIENT] about [TOPIC], as if I wrote it myself — it shouldn't sound like AI-written content.</t>
        </is>
      </c>
      <c r="D23" s="35" t="inlineStr">
        <is>
          <t>Built during Task 1.9 from Task 1.5's Styles example. Structural pattern: three placeholders — [MESSAGE TYPE], [RECIPIENT], [TOPIC] — generalized from a single stakeholder-email example.</t>
        </is>
      </c>
    </row>
    <row r="24" ht="79.5" customHeight="1" s="71">
      <c r="A24" s="34" t="inlineStr">
        <is>
          <t>Recall &amp; Summarize</t>
        </is>
      </c>
      <c r="B24" s="35" t="inlineStr">
        <is>
          <t>You need Claude to pull together everything established earlier in this conversation, instead of re-explaining it.</t>
        </is>
      </c>
      <c r="C24" s="35" t="inlineStr">
        <is>
          <t>Summarize what we've covered on [TOPIC] over [TIMEFRAME].</t>
        </is>
      </c>
      <c r="D24" s="35" t="inlineStr">
        <is>
          <t>Built during Task 1.9 from Task 1.5's Memory example. Note (per the original cheat sheet): this tests in-chat/in-conversation recall, not true cross-session Memory. Structural pattern: two placeholders — [TOPIC] and [TIMEFRAME].</t>
        </is>
      </c>
    </row>
    <row r="25" ht="79.5" customHeight="1" s="71">
      <c r="A25" s="34" t="inlineStr">
        <is>
          <t>Explain a Concept to an Audience</t>
        </is>
      </c>
      <c r="B25" s="35" t="inlineStr">
        <is>
          <t>You need to introduce an unfamiliar concept to someone with zero background, in a tight, structured way.</t>
        </is>
      </c>
      <c r="C25" s="35" t="inlineStr">
        <is>
          <t>Role: A PM explaining [CONCEPT] to [AUDIENCE]. Context: For someone who's never encountered [CONCEPT] before and needs a foundational understanding. Task: Define [CONCEPT] clearly and [WHAT TO COVER — e.g. give 2-3 examples / walk through the lifecycle]. Format: A definition followed by [STRUCTURE — e.g. bulleted examples / step-by-step breakdown]. Constraints: Under 200 words, no jargon, [ADDITIONAL CONSTRAINT].</t>
        </is>
      </c>
      <c r="D25" s="35" t="inlineStr">
        <is>
          <t>Built during Task 1.9 from Task 1.2's Role-Context-Task-Format-Constraints exercise (the automation and tickets rewrites). A concrete instantiation of the Default skeleton (row 16) for one specific job — explaining a concept to an audience — rather than the bare framework itself. Structural pattern: five placeholders, one per skeleton slot.</t>
        </is>
      </c>
    </row>
    <row r="26" ht="79.5" customHeight="1" s="71">
      <c r="A26" s="34" t="inlineStr">
        <is>
          <t>Step-by-Step Meeting Summarizer</t>
        </is>
      </c>
      <c r="B26" s="35" t="inlineStr">
        <is>
          <t>You have raw meeting notes and need them turned into a clear action list fast.</t>
        </is>
      </c>
      <c r="C26" s="35" t="inlineStr">
        <is>
          <t>1. Go through [MEETING NOTES]. 2. Extract the action items out of it. 3. Present it in [OUTPUT FORMAT — e.g. heading with bullet list].</t>
        </is>
      </c>
      <c r="D26" s="35" t="inlineStr">
        <is>
          <t>Built during Task 1.9 from Task 1.3's four-version prompting-technique experiment (bare / with examples / XML-tagged / step-by-step) for 'summarise a client meeting into action items.' The step-by-step version was judged to earn its complexity without extra scaffolding overhead. Structural pattern: two placeholders — [MEETING NOTES] and [OUTPUT FORMAT].</t>
        </is>
      </c>
    </row>
    <row r="27" ht="79.5" customHeight="1" s="71">
      <c r="A27" s="34" t="inlineStr">
        <is>
          <t>Trust-Building Onboarding Copy Recipe</t>
        </is>
      </c>
      <c r="B27" s="35" t="inlineStr">
        <is>
          <t>You need onboarding copy for a product aimed at nervous, first-time users and want to systematically build in trust and reassurance.</t>
        </is>
      </c>
      <c r="C27" s="35" t="inlineStr">
        <is>
          <t>Write onboarding copy for [PRODUCT/APP] targeting [AUDIENCE + EMOTIONAL STATE]. Include a trust signal like '[TRUST SIGNAL EXAMPLE]'. Use calm, positive language — avoid words tied to the audience's anxiety. Avoid opening with anxiety-triggering phrases such as [TRIGGER PHRASES]; lead with warmth instead. Add a line on the brand's core values/mission. Open with a use-case question, e.g. [USE CASE EXAMPLE].</t>
        </is>
      </c>
      <c r="D27" s="35" t="inlineStr">
        <is>
          <t>Built during Task 1.9 from Task 1.4's five-round PawCare debugging exercise — each round fixed one diagnosed gap (missing constraints x3, missing context, wrong format). Generalized with a fuller bracket set so the five-constraint recipe (trust signal, calm language, no anxiety triggers, values line, use-case-question opening) applies beyond pet care to any anxious-first-time-user product.</t>
        </is>
      </c>
    </row>
    <row r="28" ht="79.5" customHeight="1" s="71">
      <c r="A28" s="34" t="inlineStr">
        <is>
          <t>RICE Prioritization</t>
        </is>
      </c>
      <c r="B28" s="35" t="inlineStr">
        <is>
          <t>When you have a list of options (e.g. from Diverge) and need to narrow them down using Reach, Impact, Confidence, and Effort.</t>
        </is>
      </c>
      <c r="C28" s="35" t="inlineStr">
        <is>
          <t>Here's my list of options: [OPTIONS]. Score each on Reach, Impact, Confidence, and Effort (RICE), show the scores, and rank them. Recommend the top [N] and explain why.</t>
        </is>
      </c>
      <c r="D28" s="35" t="inlineStr">
        <is>
          <t>Built during Task 1.9 Step 5, filling a gap surfaced in the Step 4 review: "Diverge" (row 6) generates options but nothing narrowed them back down. Structural pattern: two placeholders — [OPTIONS] and [N] — pairs naturally with Diverge as a generate-then-prioritize sequence.</t>
        </is>
      </c>
    </row>
    <row r="29" ht="79.5" customHeight="1" s="71">
      <c r="A29" s="34" t="inlineStr">
        <is>
          <t>What's Notable in This Data</t>
        </is>
      </c>
      <c r="B29" s="35" t="inlineStr">
        <is>
          <t>When you're looking at numbers (a dashboard, a report, a metric change) and need to separate real signal from noise before deciding what to do about it.</t>
        </is>
      </c>
      <c r="C29" s="35" t="inlineStr">
        <is>
          <t>Analyze [DATA/METRICS — pasted or attached]. Identify what's a real trend vs. noise, and recommend what I should look into further or act on.</t>
        </is>
      </c>
      <c r="D29" s="35" t="inlineStr">
        <is>
          <t>Built during Task 1.9 Step 5, filling a gap surfaced in the Step 4 review: the library had decision-support prompts (tradeoffs, devil's advocate) but nothing for interpreting raw data or metrics. Structural pattern: single placeholder [DATA/METRICS], usable with pasted numbers or an attached file.</t>
        </is>
      </c>
    </row>
    <row r="30" ht="15.75" customHeight="1" s="71">
      <c r="A30" t="inlineStr">
        <is>
          <t>Update an Existing GitHub Project</t>
        </is>
      </c>
      <c r="B30" t="inlineStr">
        <is>
          <t>You have local changes to a project that's already on GitHub and need the exact steps to get them pushed up safely.</t>
        </is>
      </c>
      <c r="C30" t="inlineStr">
        <is>
          <t>Role: A senior developer walking a junior teammate through updating an existing GitHub repository. Context: I have a project already cloned locally at [LOCAL PATH/REPO NAME], connected to the GitHub repo [REPO URL]. I've made changes ([BRIEF DESCRIPTION OF CHANGES]) and need to get them onto GitHub. My current setup: [BRANCH NAME, e.g. main / a feature branch], and I [HAVE / HAVEN'T] pulled the latest changes from the remote first. Task: Walk me through updating the repository step by step — checking status, staging the right files, committing with a clear message, and pushing. Before any step that could overwrite my own or someone else's work (force-push, hard reset, pulling over uncommitted changes), stop and flag it explicitly rather than just running it. Format: Numbered steps, each with the exact command and a one-line explanation of what it does. Constraints: Assume I know basic git vocabulary (commit, branch, remote) but not much beyond that. If anything about my setup above is ambiguous or missing (e.g. whether I'm behind the remote), ask before giving commands rather than guessing.</t>
        </is>
      </c>
      <c r="D30" t="inlineStr">
        <is>
          <t>Built during Task 4.6 troubleshooting, after git push kept getting blocked by session-level repo authorization. Structural pattern: five setup placeholders — [LOCAL PATH/REPO NAME], [REPO URL], [BRIEF DESCRIPTION OF CHANGES], [BRANCH NAME], [HAVE/HAVEN'T] — plus an explicit instruction to flag any destructive step (force-push, hard reset, pulling over uncommitted changes) rather than run it silently.</t>
        </is>
      </c>
    </row>
    <row r="31" ht="15.75" customHeight="1" s="71">
      <c r="A31" t="inlineStr">
        <is>
          <t>Iterative Prototype Build — Protect the Core Requirement</t>
        </is>
      </c>
      <c r="B31" t="inlineStr">
        <is>
          <t>You're refining a design or prototype over many rounds and there's one requirement that has to survive every round, not just the first one.</t>
        </is>
      </c>
      <c r="C31" t="inlineStr">
        <is>
          <t>Build [SCREEN/COMPONENT] with the following structure and hierarchy: [DETAILS].
Non-negotiable requirement, checked on every round from now on — including rounds that don't mention it: [THE SPECIFIC REQUIREMENT, e.g. "Log out must stay visually distinct in kind, not just position, from every other row on this screen"]. Before applying any requested change, check whether it would weaken this requirement, even indirectly — removing a separator, making a uniform style change that happens to erase a contrast, etc. If a requested change would weaken it, apply the change but flag the tradeoff explicitly rather than doing it silently.
At the end of every round, state in one line whether the non-negotiable requirement still holds.</t>
        </is>
      </c>
      <c r="D31" t="inlineStr">
        <is>
          <t>Built during Task 4.6, Step 5, after watching a Log-out safety requirement quietly erode over 10 rounds of the Claude Design refinement — two unrelated, locally-reasonable fixes (a text-wrap fix, a gradient-consistency fix) combined to undo it. Structural pattern: turns a requirement from one-time prose in the build prompt into a standing check applied to every future round, with an explicit instruction to flag rather than silently apply any change that would weaken it.</t>
        </is>
      </c>
    </row>
    <row r="32" ht="15.75" customHeight="1" s="71"/>
    <row r="33" ht="15.75" customHeight="1" s="71"/>
    <row r="34" ht="15.75" customHeight="1" s="71"/>
    <row r="35" ht="15.75" customHeight="1" s="71"/>
    <row r="36" ht="15.75" customHeight="1" s="71"/>
    <row r="37" ht="15.75" customHeight="1" s="71"/>
    <row r="38" ht="15.75" customHeight="1" s="71"/>
    <row r="39" ht="15.75" customHeight="1" s="71"/>
    <row r="40" ht="15.75" customHeight="1" s="71"/>
    <row r="41" ht="15.75" customHeight="1" s="71"/>
    <row r="42" ht="15.75" customHeight="1" s="71"/>
    <row r="43" ht="15.75" customHeight="1" s="71"/>
    <row r="44" ht="15.75" customHeight="1" s="71"/>
    <row r="45" ht="15.75" customHeight="1" s="71"/>
    <row r="46" ht="15.75" customHeight="1" s="71"/>
    <row r="47" ht="15.75" customHeight="1" s="71"/>
    <row r="48" ht="15.75" customHeight="1" s="71"/>
    <row r="49" ht="15.75" customHeight="1" s="71"/>
    <row r="50" ht="15.75" customHeight="1" s="71"/>
    <row r="51" ht="15.75" customHeight="1" s="71"/>
    <row r="52" ht="15.75" customHeight="1" s="71"/>
    <row r="53" ht="15.75" customHeight="1" s="71"/>
    <row r="54" ht="15.75" customHeight="1" s="71"/>
    <row r="55" ht="15.75" customHeight="1" s="71"/>
    <row r="56" ht="15.75" customHeight="1" s="71"/>
    <row r="57" ht="15.75" customHeight="1" s="71"/>
    <row r="58" ht="15.75" customHeight="1" s="71"/>
    <row r="59" ht="15.75" customHeight="1" s="71"/>
    <row r="60" ht="15.75" customHeight="1" s="71"/>
    <row r="61" ht="15.75" customHeight="1" s="71"/>
    <row r="62" ht="15.75" customHeight="1" s="71"/>
    <row r="63" ht="15.75" customHeight="1" s="71"/>
    <row r="64" ht="15.75" customHeight="1" s="71"/>
    <row r="65" ht="15.75" customHeight="1" s="71"/>
    <row r="66" ht="15.75" customHeight="1" s="71"/>
    <row r="67" ht="15.75" customHeight="1" s="71"/>
    <row r="68" ht="15.75" customHeight="1" s="71"/>
    <row r="69" ht="15.75" customHeight="1" s="71"/>
    <row r="70" ht="15.75" customHeight="1" s="71"/>
    <row r="71" ht="15.75" customHeight="1" s="71"/>
    <row r="72" ht="15.75" customHeight="1" s="71"/>
    <row r="73" ht="15.75" customHeight="1" s="71"/>
    <row r="74" ht="15.75" customHeight="1" s="71"/>
    <row r="75" ht="15.75" customHeight="1" s="71"/>
    <row r="76" ht="15.75" customHeight="1" s="71"/>
    <row r="77" ht="15.75" customHeight="1" s="71"/>
    <row r="78" ht="15.75" customHeight="1" s="71"/>
    <row r="79" ht="15.75" customHeight="1" s="71"/>
    <row r="80" ht="15.75" customHeight="1" s="71"/>
    <row r="81" ht="15.75" customHeight="1" s="71"/>
    <row r="82" ht="15.75" customHeight="1" s="71"/>
    <row r="83" ht="15.75" customHeight="1" s="71"/>
    <row r="84" ht="15.75" customHeight="1" s="71"/>
    <row r="85" ht="15.75" customHeight="1" s="71"/>
    <row r="86" ht="15.75" customHeight="1" s="71"/>
    <row r="87" ht="15.75" customHeight="1" s="71"/>
    <row r="88" ht="15.75" customHeight="1" s="71"/>
    <row r="89" ht="15.75" customHeight="1" s="71"/>
    <row r="90" ht="15.75" customHeight="1" s="71"/>
    <row r="91" ht="15.75" customHeight="1" s="71"/>
    <row r="92" ht="15.75" customHeight="1" s="71"/>
    <row r="93" ht="15.75" customHeight="1" s="71"/>
    <row r="94" ht="15.75" customHeight="1" s="71"/>
    <row r="95" ht="15.75" customHeight="1" s="71"/>
    <row r="96" ht="15.75" customHeight="1" s="71"/>
    <row r="97" ht="15.75" customHeight="1" s="71"/>
    <row r="98" ht="15.75" customHeight="1" s="71"/>
    <row r="99" ht="15.75" customHeight="1" s="71"/>
    <row r="100" ht="15.75" customHeight="1" s="71"/>
    <row r="101" ht="15.75" customHeight="1" s="71"/>
    <row r="102" ht="15.75" customHeight="1" s="71"/>
    <row r="103" ht="15.75" customHeight="1" s="71"/>
    <row r="104" ht="15.75" customHeight="1" s="71"/>
    <row r="105" ht="15.75" customHeight="1" s="71"/>
    <row r="106" ht="15.75" customHeight="1" s="71"/>
    <row r="107" ht="15.75" customHeight="1" s="71"/>
    <row r="108" ht="15.75" customHeight="1" s="71"/>
    <row r="109" ht="15.75" customHeight="1" s="71"/>
    <row r="110" ht="15.75" customHeight="1" s="71"/>
    <row r="111" ht="15.75" customHeight="1" s="71"/>
    <row r="112" ht="15.75" customHeight="1" s="71"/>
    <row r="113" ht="15.75" customHeight="1" s="71"/>
    <row r="114" ht="15.75" customHeight="1" s="71"/>
    <row r="115" ht="15.75" customHeight="1" s="71"/>
    <row r="116" ht="15.75" customHeight="1" s="71"/>
    <row r="117" ht="15.75" customHeight="1" s="71"/>
    <row r="118" ht="15.75" customHeight="1" s="71"/>
    <row r="119" ht="15.75" customHeight="1" s="71"/>
    <row r="120" ht="15.75" customHeight="1" s="71"/>
    <row r="121" ht="15.75" customHeight="1" s="71"/>
    <row r="122" ht="15.75" customHeight="1" s="71"/>
    <row r="123" ht="15.75" customHeight="1" s="71"/>
    <row r="124" ht="15.75" customHeight="1" s="71"/>
    <row r="125" ht="15.75" customHeight="1" s="71"/>
    <row r="126" ht="15.75" customHeight="1" s="71"/>
    <row r="127" ht="15.75" customHeight="1" s="71"/>
    <row r="128" ht="15.75" customHeight="1" s="71"/>
    <row r="129" ht="15.75" customHeight="1" s="71"/>
    <row r="130" ht="15.75" customHeight="1" s="71"/>
    <row r="131" ht="15.75" customHeight="1" s="71"/>
    <row r="132" ht="15.75" customHeight="1" s="71"/>
    <row r="133" ht="15.75" customHeight="1" s="71"/>
    <row r="134" ht="15.75" customHeight="1" s="71"/>
    <row r="135" ht="15.75" customHeight="1" s="71"/>
    <row r="136" ht="15.75" customHeight="1" s="71"/>
    <row r="137" ht="15.75" customHeight="1" s="71"/>
    <row r="138" ht="15.75" customHeight="1" s="71"/>
    <row r="139" ht="15.75" customHeight="1" s="71"/>
    <row r="140" ht="15.75" customHeight="1" s="71"/>
    <row r="141" ht="15.75" customHeight="1" s="71"/>
    <row r="142" ht="15.75" customHeight="1" s="71"/>
    <row r="143" ht="15.75" customHeight="1" s="71"/>
    <row r="144" ht="15.75" customHeight="1" s="71"/>
    <row r="145" ht="15.75" customHeight="1" s="71"/>
    <row r="146" ht="15.75" customHeight="1" s="71"/>
    <row r="147" ht="15.75" customHeight="1" s="71"/>
    <row r="148" ht="15.75" customHeight="1" s="71"/>
    <row r="149" ht="15.75" customHeight="1" s="71"/>
    <row r="150" ht="15.75" customHeight="1" s="71"/>
    <row r="151" ht="15.75" customHeight="1" s="71"/>
    <row r="152" ht="15.75" customHeight="1" s="71"/>
    <row r="153" ht="15.75" customHeight="1" s="71"/>
    <row r="154" ht="15.75" customHeight="1" s="71"/>
    <row r="155" ht="15.75" customHeight="1" s="71"/>
    <row r="156" ht="15.75" customHeight="1" s="71"/>
    <row r="157" ht="15.75" customHeight="1" s="71"/>
    <row r="158" ht="15.75" customHeight="1" s="71"/>
    <row r="159" ht="15.75" customHeight="1" s="71"/>
    <row r="160" ht="15.75" customHeight="1" s="71"/>
    <row r="161" ht="15.75" customHeight="1" s="71"/>
    <row r="162" ht="15.75" customHeight="1" s="71"/>
    <row r="163" ht="15.75" customHeight="1" s="71"/>
    <row r="164" ht="15.75" customHeight="1" s="71"/>
    <row r="165" ht="15.75" customHeight="1" s="71"/>
    <row r="166" ht="15.75" customHeight="1" s="71"/>
    <row r="167" ht="15.75" customHeight="1" s="71"/>
    <row r="168" ht="15.75" customHeight="1" s="71"/>
    <row r="169" ht="15.75" customHeight="1" s="71"/>
    <row r="170" ht="15.75" customHeight="1" s="71"/>
    <row r="171" ht="15.75" customHeight="1" s="71"/>
    <row r="172" ht="15.75" customHeight="1" s="71"/>
    <row r="173" ht="15.75" customHeight="1" s="71"/>
    <row r="174" ht="15.75" customHeight="1" s="71"/>
    <row r="175" ht="15.75" customHeight="1" s="71"/>
    <row r="176" ht="15.75" customHeight="1" s="71"/>
    <row r="177" ht="15.75" customHeight="1" s="71"/>
    <row r="178" ht="15.75" customHeight="1" s="71"/>
    <row r="179" ht="15.75" customHeight="1" s="71"/>
    <row r="180" ht="15.75" customHeight="1" s="71"/>
    <row r="181" ht="15.75" customHeight="1" s="71"/>
    <row r="182" ht="15.75" customHeight="1" s="71"/>
    <row r="183" ht="15.75" customHeight="1" s="71"/>
    <row r="184" ht="15.75" customHeight="1" s="71"/>
    <row r="185" ht="15.75" customHeight="1" s="71"/>
    <row r="186" ht="15.75" customHeight="1" s="71"/>
    <row r="187" ht="15.75" customHeight="1" s="71"/>
    <row r="188" ht="15.75" customHeight="1" s="71"/>
    <row r="189" ht="15.75" customHeight="1" s="71"/>
    <row r="190" ht="15.75" customHeight="1" s="71"/>
    <row r="191" ht="15.75" customHeight="1" s="71"/>
    <row r="192" ht="15.75" customHeight="1" s="71"/>
    <row r="193" ht="15.75" customHeight="1" s="71"/>
    <row r="194" ht="15.75" customHeight="1" s="71"/>
    <row r="195" ht="15.75" customHeight="1" s="71"/>
    <row r="196" ht="15.75" customHeight="1" s="71"/>
    <row r="197" ht="15.75" customHeight="1" s="71"/>
    <row r="198" ht="15.75" customHeight="1" s="71"/>
    <row r="199" ht="15.75" customHeight="1" s="71"/>
    <row r="200" ht="15.75" customHeight="1" s="71"/>
    <row r="201" ht="15.75" customHeight="1" s="71"/>
    <row r="202" ht="15.75" customHeight="1" s="71"/>
    <row r="203" ht="15.75" customHeight="1" s="71"/>
    <row r="204" ht="15.75" customHeight="1" s="71"/>
    <row r="205" ht="15.75" customHeight="1" s="71"/>
    <row r="206" ht="15.75" customHeight="1" s="71"/>
    <row r="207" ht="15.75" customHeight="1" s="71"/>
    <row r="208" ht="15.75" customHeight="1" s="71"/>
    <row r="209" ht="15.75" customHeight="1" s="71"/>
    <row r="210" ht="15.75" customHeight="1" s="71"/>
    <row r="211" ht="15.75" customHeight="1" s="71"/>
    <row r="212" ht="15.75" customHeight="1" s="71"/>
    <row r="213" ht="15.75" customHeight="1" s="71"/>
    <row r="214" ht="15.75" customHeight="1" s="71"/>
    <row r="215" ht="15.75" customHeight="1" s="71"/>
    <row r="216" ht="15.75" customHeight="1" s="71"/>
    <row r="217" ht="15.75" customHeight="1" s="71"/>
    <row r="218" ht="15.75" customHeight="1" s="71"/>
    <row r="219" ht="15.75" customHeight="1" s="71"/>
    <row r="220" ht="15.75" customHeight="1" s="71"/>
    <row r="221" ht="15.75" customHeight="1" s="71"/>
    <row r="222" ht="15.75" customHeight="1" s="71"/>
    <row r="223" ht="15.75" customHeight="1" s="71"/>
    <row r="224" ht="15.75" customHeight="1" s="71"/>
    <row r="225" ht="15.75" customHeight="1" s="71"/>
    <row r="226" ht="15.75" customHeight="1" s="71"/>
    <row r="227" ht="15.75" customHeight="1" s="71"/>
    <row r="228" ht="15.75" customHeight="1" s="71"/>
    <row r="229" ht="15.75" customHeight="1" s="71"/>
    <row r="230" ht="15.75" customHeight="1" s="71"/>
    <row r="231" ht="15.75" customHeight="1" s="71"/>
    <row r="232" ht="15.75" customHeight="1" s="71"/>
    <row r="233" ht="15.75" customHeight="1" s="71"/>
    <row r="234" ht="15.75" customHeight="1" s="71"/>
    <row r="235" ht="15.75" customHeight="1" s="71"/>
    <row r="236" ht="15.75" customHeight="1" s="71"/>
    <row r="237" ht="15.75" customHeight="1" s="71"/>
    <row r="238" ht="15.75" customHeight="1" s="71"/>
    <row r="239" ht="15.75" customHeight="1" s="71"/>
    <row r="240" ht="15.75" customHeight="1" s="71"/>
    <row r="241" ht="15.75" customHeight="1" s="71"/>
    <row r="242" ht="15.75" customHeight="1" s="71"/>
    <row r="243" ht="15.75" customHeight="1" s="71"/>
    <row r="244" ht="15.75" customHeight="1" s="71"/>
    <row r="245" ht="15.75" customHeight="1" s="71"/>
    <row r="246" ht="15.75" customHeight="1" s="71"/>
    <row r="247" ht="15.75" customHeight="1" s="71"/>
    <row r="248" ht="15.75" customHeight="1" s="71"/>
    <row r="249" ht="15.75" customHeight="1" s="71"/>
    <row r="250" ht="15.75" customHeight="1" s="71"/>
    <row r="251" ht="15.75" customHeight="1" s="71"/>
    <row r="252" ht="15.75" customHeight="1" s="71"/>
    <row r="253" ht="15.75" customHeight="1" s="71"/>
    <row r="254" ht="15.75" customHeight="1" s="71"/>
    <row r="255" ht="15.75" customHeight="1" s="71"/>
    <row r="256" ht="15.75" customHeight="1" s="71"/>
    <row r="257" ht="15.75" customHeight="1" s="71"/>
    <row r="258" ht="15.75" customHeight="1" s="71"/>
    <row r="259" ht="15.75" customHeight="1" s="71"/>
    <row r="260" ht="15.75" customHeight="1" s="71"/>
    <row r="261" ht="15.75" customHeight="1" s="71"/>
    <row r="262" ht="15.75" customHeight="1" s="71"/>
    <row r="263" ht="15.75" customHeight="1" s="71"/>
    <row r="264" ht="15.75" customHeight="1" s="71"/>
    <row r="265" ht="15.75" customHeight="1" s="71"/>
    <row r="266" ht="15.75" customHeight="1" s="71"/>
    <row r="267" ht="15.75" customHeight="1" s="71"/>
    <row r="268" ht="15.75" customHeight="1" s="71"/>
    <row r="269" ht="15.75" customHeight="1" s="71"/>
    <row r="270" ht="15.75" customHeight="1" s="71"/>
    <row r="271" ht="15.75" customHeight="1" s="71"/>
    <row r="272" ht="15.75" customHeight="1" s="71"/>
    <row r="273" ht="15.75" customHeight="1" s="71"/>
    <row r="274" ht="15.75" customHeight="1" s="71"/>
    <row r="275" ht="15.75" customHeight="1" s="71"/>
    <row r="276" ht="15.75" customHeight="1" s="71"/>
    <row r="277" ht="15.75" customHeight="1" s="71"/>
    <row r="278" ht="15.75" customHeight="1" s="71"/>
    <row r="279" ht="15.75" customHeight="1" s="71"/>
    <row r="280" ht="15.75" customHeight="1" s="71"/>
    <row r="281" ht="15.75" customHeight="1" s="71"/>
    <row r="282" ht="15.75" customHeight="1" s="71"/>
    <row r="283" ht="15.75" customHeight="1" s="71"/>
    <row r="284" ht="15.75" customHeight="1" s="71"/>
    <row r="285" ht="15.75" customHeight="1" s="71"/>
    <row r="286" ht="15.75" customHeight="1" s="71"/>
    <row r="287" ht="15.75" customHeight="1" s="71"/>
    <row r="288" ht="15.75" customHeight="1" s="71"/>
    <row r="289" ht="15.75" customHeight="1" s="71"/>
    <row r="290" ht="15.75" customHeight="1" s="71"/>
    <row r="291" ht="15.75" customHeight="1" s="71"/>
    <row r="292" ht="15.75" customHeight="1" s="71"/>
    <row r="293" ht="15.75" customHeight="1" s="71"/>
    <row r="294" ht="15.75" customHeight="1" s="71"/>
    <row r="295" ht="15.75" customHeight="1" s="71"/>
    <row r="296" ht="15.75" customHeight="1" s="71"/>
    <row r="297" ht="15.75" customHeight="1" s="71"/>
    <row r="298" ht="15.75" customHeight="1" s="71"/>
    <row r="299" ht="15.75" customHeight="1" s="71"/>
    <row r="300" ht="15.75" customHeight="1" s="71"/>
    <row r="301" ht="15.75" customHeight="1" s="71"/>
    <row r="302" ht="15.75" customHeight="1" s="71"/>
    <row r="303" ht="15.75" customHeight="1" s="71"/>
    <row r="304" ht="15.75" customHeight="1" s="71"/>
    <row r="305" ht="15.75" customHeight="1" s="71"/>
    <row r="306" ht="15.75" customHeight="1" s="71"/>
    <row r="307" ht="15.75" customHeight="1" s="71"/>
    <row r="308" ht="15.75" customHeight="1" s="71"/>
    <row r="309" ht="15.75" customHeight="1" s="71"/>
    <row r="310" ht="15.75" customHeight="1" s="71"/>
    <row r="311" ht="15.75" customHeight="1" s="71"/>
    <row r="312" ht="15.75" customHeight="1" s="71"/>
    <row r="313" ht="15.75" customHeight="1" s="71"/>
    <row r="314" ht="15.75" customHeight="1" s="71"/>
    <row r="315" ht="15.75" customHeight="1" s="71"/>
    <row r="316" ht="15.75" customHeight="1" s="71"/>
    <row r="317" ht="15.75" customHeight="1" s="71"/>
    <row r="318" ht="15.75" customHeight="1" s="71"/>
    <row r="319" ht="15.75" customHeight="1" s="71"/>
    <row r="320" ht="15.75" customHeight="1" s="71"/>
    <row r="321" ht="15.75" customHeight="1" s="71"/>
    <row r="322" ht="15.75" customHeight="1" s="71"/>
    <row r="323" ht="15.75" customHeight="1" s="71"/>
    <row r="324" ht="15.75" customHeight="1" s="71"/>
    <row r="325" ht="15.75" customHeight="1" s="71"/>
    <row r="326" ht="15.75" customHeight="1" s="71"/>
    <row r="327" ht="15.75" customHeight="1" s="71"/>
    <row r="328" ht="15.75" customHeight="1" s="71"/>
    <row r="329" ht="15.75" customHeight="1" s="71"/>
    <row r="330" ht="15.75" customHeight="1" s="71"/>
    <row r="331" ht="15.75" customHeight="1" s="71"/>
    <row r="332" ht="15.75" customHeight="1" s="71"/>
    <row r="333" ht="15.75" customHeight="1" s="71"/>
    <row r="334" ht="15.75" customHeight="1" s="71"/>
    <row r="335" ht="15.75" customHeight="1" s="71"/>
    <row r="336" ht="15.75" customHeight="1" s="71"/>
    <row r="337" ht="15.75" customHeight="1" s="71"/>
    <row r="338" ht="15.75" customHeight="1" s="71"/>
    <row r="339" ht="15.75" customHeight="1" s="71"/>
    <row r="340" ht="15.75" customHeight="1" s="71"/>
    <row r="341" ht="15.75" customHeight="1" s="71"/>
    <row r="342" ht="15.75" customHeight="1" s="71"/>
    <row r="343" ht="15.75" customHeight="1" s="71"/>
    <row r="344" ht="15.75" customHeight="1" s="71"/>
    <row r="345" ht="15.75" customHeight="1" s="71"/>
    <row r="346" ht="15.75" customHeight="1" s="71"/>
    <row r="347" ht="15.75" customHeight="1" s="71"/>
    <row r="348" ht="15.75" customHeight="1" s="71"/>
    <row r="349" ht="15.75" customHeight="1" s="71"/>
    <row r="350" ht="15.75" customHeight="1" s="71"/>
    <row r="351" ht="15.75" customHeight="1" s="71"/>
    <row r="352" ht="15.75" customHeight="1" s="71"/>
    <row r="353" ht="15.75" customHeight="1" s="71"/>
    <row r="354" ht="15.75" customHeight="1" s="71"/>
    <row r="355" ht="15.75" customHeight="1" s="71"/>
    <row r="356" ht="15.75" customHeight="1" s="71"/>
    <row r="357" ht="15.75" customHeight="1" s="71"/>
    <row r="358" ht="15.75" customHeight="1" s="71"/>
    <row r="359" ht="15.75" customHeight="1" s="71"/>
    <row r="360" ht="15.75" customHeight="1" s="71"/>
    <row r="361" ht="15.75" customHeight="1" s="71"/>
    <row r="362" ht="15.75" customHeight="1" s="71"/>
    <row r="363" ht="15.75" customHeight="1" s="71"/>
    <row r="364" ht="15.75" customHeight="1" s="71"/>
    <row r="365" ht="15.75" customHeight="1" s="71"/>
    <row r="366" ht="15.75" customHeight="1" s="71"/>
    <row r="367" ht="15.75" customHeight="1" s="71"/>
    <row r="368" ht="15.75" customHeight="1" s="71"/>
    <row r="369" ht="15.75" customHeight="1" s="71"/>
    <row r="370" ht="15.75" customHeight="1" s="71"/>
    <row r="371" ht="15.75" customHeight="1" s="71"/>
    <row r="372" ht="15.75" customHeight="1" s="71"/>
    <row r="373" ht="15.75" customHeight="1" s="71"/>
    <row r="374" ht="15.75" customHeight="1" s="71"/>
    <row r="375" ht="15.75" customHeight="1" s="71"/>
    <row r="376" ht="15.75" customHeight="1" s="71"/>
    <row r="377" ht="15.75" customHeight="1" s="71"/>
    <row r="378" ht="15.75" customHeight="1" s="71"/>
    <row r="379" ht="15.75" customHeight="1" s="71"/>
    <row r="380" ht="15.75" customHeight="1" s="71"/>
    <row r="381" ht="15.75" customHeight="1" s="71"/>
    <row r="382" ht="15.75" customHeight="1" s="71"/>
    <row r="383" ht="15.75" customHeight="1" s="71"/>
    <row r="384" ht="15.75" customHeight="1" s="71"/>
    <row r="385" ht="15.75" customHeight="1" s="71"/>
    <row r="386" ht="15.75" customHeight="1" s="71"/>
    <row r="387" ht="15.75" customHeight="1" s="71"/>
    <row r="388" ht="15.75" customHeight="1" s="71"/>
    <row r="389" ht="15.75" customHeight="1" s="71"/>
    <row r="390" ht="15.75" customHeight="1" s="71"/>
    <row r="391" ht="15.75" customHeight="1" s="71"/>
    <row r="392" ht="15.75" customHeight="1" s="71"/>
    <row r="393" ht="15.75" customHeight="1" s="71"/>
    <row r="394" ht="15.75" customHeight="1" s="71"/>
    <row r="395" ht="15.75" customHeight="1" s="71"/>
    <row r="396" ht="15.75" customHeight="1" s="71"/>
    <row r="397" ht="15.75" customHeight="1" s="71"/>
    <row r="398" ht="15.75" customHeight="1" s="71"/>
    <row r="399" ht="15.75" customHeight="1" s="71"/>
    <row r="400" ht="15.75" customHeight="1" s="71"/>
    <row r="401" ht="15.75" customHeight="1" s="71"/>
    <row r="402" ht="15.75" customHeight="1" s="71"/>
    <row r="403" ht="15.75" customHeight="1" s="71"/>
    <row r="404" ht="15.75" customHeight="1" s="71"/>
    <row r="405" ht="15.75" customHeight="1" s="71"/>
    <row r="406" ht="15.75" customHeight="1" s="71"/>
    <row r="407" ht="15.75" customHeight="1" s="71"/>
    <row r="408" ht="15.75" customHeight="1" s="71"/>
    <row r="409" ht="15.75" customHeight="1" s="71"/>
    <row r="410" ht="15.75" customHeight="1" s="71"/>
    <row r="411" ht="15.75" customHeight="1" s="71"/>
    <row r="412" ht="15.75" customHeight="1" s="71"/>
    <row r="413" ht="15.75" customHeight="1" s="71"/>
    <row r="414" ht="15.75" customHeight="1" s="71"/>
    <row r="415" ht="15.75" customHeight="1" s="71"/>
    <row r="416" ht="15.75" customHeight="1" s="71"/>
    <row r="417" ht="15.75" customHeight="1" s="71"/>
    <row r="418" ht="15.75" customHeight="1" s="71"/>
    <row r="419" ht="15.75" customHeight="1" s="71"/>
    <row r="420" ht="15.75" customHeight="1" s="71"/>
    <row r="421" ht="15.75" customHeight="1" s="71"/>
    <row r="422" ht="15.75" customHeight="1" s="71"/>
    <row r="423" ht="15.75" customHeight="1" s="71"/>
    <row r="424" ht="15.75" customHeight="1" s="71"/>
    <row r="425" ht="15.75" customHeight="1" s="71"/>
    <row r="426" ht="15.75" customHeight="1" s="71"/>
    <row r="427" ht="15.75" customHeight="1" s="71"/>
    <row r="428" ht="15.75" customHeight="1" s="71"/>
    <row r="429" ht="15.75" customHeight="1" s="71"/>
    <row r="430" ht="15.75" customHeight="1" s="71"/>
    <row r="431" ht="15.75" customHeight="1" s="71"/>
    <row r="432" ht="15.75" customHeight="1" s="71"/>
    <row r="433" ht="15.75" customHeight="1" s="71"/>
    <row r="434" ht="15.75" customHeight="1" s="71"/>
    <row r="435" ht="15.75" customHeight="1" s="71"/>
    <row r="436" ht="15.75" customHeight="1" s="71"/>
    <row r="437" ht="15.75" customHeight="1" s="71"/>
    <row r="438" ht="15.75" customHeight="1" s="71"/>
    <row r="439" ht="15.75" customHeight="1" s="71"/>
    <row r="440" ht="15.75" customHeight="1" s="71"/>
    <row r="441" ht="15.75" customHeight="1" s="71"/>
    <row r="442" ht="15.75" customHeight="1" s="71"/>
    <row r="443" ht="15.75" customHeight="1" s="71"/>
    <row r="444" ht="15.75" customHeight="1" s="71"/>
    <row r="445" ht="15.75" customHeight="1" s="71"/>
    <row r="446" ht="15.75" customHeight="1" s="71"/>
    <row r="447" ht="15.75" customHeight="1" s="71"/>
    <row r="448" ht="15.75" customHeight="1" s="71"/>
    <row r="449" ht="15.75" customHeight="1" s="71"/>
    <row r="450" ht="15.75" customHeight="1" s="71"/>
    <row r="451" ht="15.75" customHeight="1" s="71"/>
    <row r="452" ht="15.75" customHeight="1" s="71"/>
    <row r="453" ht="15.75" customHeight="1" s="71"/>
    <row r="454" ht="15.75" customHeight="1" s="71"/>
    <row r="455" ht="15.75" customHeight="1" s="71"/>
    <row r="456" ht="15.75" customHeight="1" s="71"/>
    <row r="457" ht="15.75" customHeight="1" s="71"/>
    <row r="458" ht="15.75" customHeight="1" s="71"/>
    <row r="459" ht="15.75" customHeight="1" s="71"/>
    <row r="460" ht="15.75" customHeight="1" s="71"/>
    <row r="461" ht="15.75" customHeight="1" s="71"/>
    <row r="462" ht="15.75" customHeight="1" s="71"/>
    <row r="463" ht="15.75" customHeight="1" s="71"/>
    <row r="464" ht="15.75" customHeight="1" s="71"/>
    <row r="465" ht="15.75" customHeight="1" s="71"/>
    <row r="466" ht="15.75" customHeight="1" s="71"/>
    <row r="467" ht="15.75" customHeight="1" s="71"/>
    <row r="468" ht="15.75" customHeight="1" s="71"/>
    <row r="469" ht="15.75" customHeight="1" s="71"/>
    <row r="470" ht="15.75" customHeight="1" s="71"/>
    <row r="471" ht="15.75" customHeight="1" s="71"/>
    <row r="472" ht="15.75" customHeight="1" s="71"/>
    <row r="473" ht="15.75" customHeight="1" s="71"/>
    <row r="474" ht="15.75" customHeight="1" s="71"/>
    <row r="475" ht="15.75" customHeight="1" s="71"/>
    <row r="476" ht="15.75" customHeight="1" s="71"/>
    <row r="477" ht="15.75" customHeight="1" s="71"/>
    <row r="478" ht="15.75" customHeight="1" s="71"/>
    <row r="479" ht="15.75" customHeight="1" s="71"/>
    <row r="480" ht="15.75" customHeight="1" s="71"/>
    <row r="481" ht="15.75" customHeight="1" s="71"/>
    <row r="482" ht="15.75" customHeight="1" s="71"/>
    <row r="483" ht="15.75" customHeight="1" s="71"/>
    <row r="484" ht="15.75" customHeight="1" s="71"/>
    <row r="485" ht="15.75" customHeight="1" s="71"/>
    <row r="486" ht="15.75" customHeight="1" s="71"/>
    <row r="487" ht="15.75" customHeight="1" s="71"/>
    <row r="488" ht="15.75" customHeight="1" s="71"/>
    <row r="489" ht="15.75" customHeight="1" s="71"/>
    <row r="490" ht="15.75" customHeight="1" s="71"/>
    <row r="491" ht="15.75" customHeight="1" s="71"/>
    <row r="492" ht="15.75" customHeight="1" s="71"/>
    <row r="493" ht="15.75" customHeight="1" s="71"/>
    <row r="494" ht="15.75" customHeight="1" s="71"/>
    <row r="495" ht="15.75" customHeight="1" s="71"/>
    <row r="496" ht="15.75" customHeight="1" s="71"/>
    <row r="497" ht="15.75" customHeight="1" s="71"/>
    <row r="498" ht="15.75" customHeight="1" s="71"/>
    <row r="499" ht="15.75" customHeight="1" s="71"/>
    <row r="500" ht="15.75" customHeight="1" s="71"/>
    <row r="501" ht="15.75" customHeight="1" s="71"/>
    <row r="502" ht="15.75" customHeight="1" s="71"/>
    <row r="503" ht="15.75" customHeight="1" s="71"/>
    <row r="504" ht="15.75" customHeight="1" s="71"/>
    <row r="505" ht="15.75" customHeight="1" s="71"/>
    <row r="506" ht="15.75" customHeight="1" s="71"/>
    <row r="507" ht="15.75" customHeight="1" s="71"/>
    <row r="508" ht="15.75" customHeight="1" s="71"/>
    <row r="509" ht="15.75" customHeight="1" s="71"/>
    <row r="510" ht="15.75" customHeight="1" s="71"/>
    <row r="511" ht="15.75" customHeight="1" s="71"/>
    <row r="512" ht="15.75" customHeight="1" s="71"/>
    <row r="513" ht="15.75" customHeight="1" s="71"/>
    <row r="514" ht="15.75" customHeight="1" s="71"/>
    <row r="515" ht="15.75" customHeight="1" s="71"/>
    <row r="516" ht="15.75" customHeight="1" s="71"/>
    <row r="517" ht="15.75" customHeight="1" s="71"/>
    <row r="518" ht="15.75" customHeight="1" s="71"/>
    <row r="519" ht="15.75" customHeight="1" s="71"/>
    <row r="520" ht="15.75" customHeight="1" s="71"/>
    <row r="521" ht="15.75" customHeight="1" s="71"/>
    <row r="522" ht="15.75" customHeight="1" s="71"/>
    <row r="523" ht="15.75" customHeight="1" s="71"/>
    <row r="524" ht="15.75" customHeight="1" s="71"/>
    <row r="525" ht="15.75" customHeight="1" s="71"/>
    <row r="526" ht="15.75" customHeight="1" s="71"/>
    <row r="527" ht="15.75" customHeight="1" s="71"/>
    <row r="528" ht="15.75" customHeight="1" s="71"/>
    <row r="529" ht="15.75" customHeight="1" s="71"/>
    <row r="530" ht="15.75" customHeight="1" s="71"/>
    <row r="531" ht="15.75" customHeight="1" s="71"/>
    <row r="532" ht="15.75" customHeight="1" s="71"/>
    <row r="533" ht="15.75" customHeight="1" s="71"/>
    <row r="534" ht="15.75" customHeight="1" s="71"/>
    <row r="535" ht="15.75" customHeight="1" s="71"/>
    <row r="536" ht="15.75" customHeight="1" s="71"/>
    <row r="537" ht="15.75" customHeight="1" s="71"/>
    <row r="538" ht="15.75" customHeight="1" s="71"/>
    <row r="539" ht="15.75" customHeight="1" s="71"/>
    <row r="540" ht="15.75" customHeight="1" s="71"/>
    <row r="541" ht="15.75" customHeight="1" s="71"/>
    <row r="542" ht="15.75" customHeight="1" s="71"/>
    <row r="543" ht="15.75" customHeight="1" s="71"/>
    <row r="544" ht="15.75" customHeight="1" s="71"/>
    <row r="545" ht="15.75" customHeight="1" s="71"/>
    <row r="546" ht="15.75" customHeight="1" s="71"/>
    <row r="547" ht="15.75" customHeight="1" s="71"/>
    <row r="548" ht="15.75" customHeight="1" s="71"/>
    <row r="549" ht="15.75" customHeight="1" s="71"/>
    <row r="550" ht="15.75" customHeight="1" s="71"/>
    <row r="551" ht="15.75" customHeight="1" s="71"/>
    <row r="552" ht="15.75" customHeight="1" s="71"/>
    <row r="553" ht="15.75" customHeight="1" s="71"/>
    <row r="554" ht="15.75" customHeight="1" s="71"/>
    <row r="555" ht="15.75" customHeight="1" s="71"/>
    <row r="556" ht="15.75" customHeight="1" s="71"/>
    <row r="557" ht="15.75" customHeight="1" s="71"/>
    <row r="558" ht="15.75" customHeight="1" s="71"/>
    <row r="559" ht="15.75" customHeight="1" s="71"/>
    <row r="560" ht="15.75" customHeight="1" s="71"/>
    <row r="561" ht="15.75" customHeight="1" s="71"/>
    <row r="562" ht="15.75" customHeight="1" s="71"/>
    <row r="563" ht="15.75" customHeight="1" s="71"/>
    <row r="564" ht="15.75" customHeight="1" s="71"/>
    <row r="565" ht="15.75" customHeight="1" s="71"/>
    <row r="566" ht="15.75" customHeight="1" s="71"/>
    <row r="567" ht="15.75" customHeight="1" s="71"/>
    <row r="568" ht="15.75" customHeight="1" s="71"/>
    <row r="569" ht="15.75" customHeight="1" s="71"/>
    <row r="570" ht="15.75" customHeight="1" s="71"/>
    <row r="571" ht="15.75" customHeight="1" s="71"/>
    <row r="572" ht="15.75" customHeight="1" s="71"/>
    <row r="573" ht="15.75" customHeight="1" s="71"/>
    <row r="574" ht="15.75" customHeight="1" s="71"/>
    <row r="575" ht="15.75" customHeight="1" s="71"/>
    <row r="576" ht="15.75" customHeight="1" s="71"/>
    <row r="577" ht="15.75" customHeight="1" s="71"/>
    <row r="578" ht="15.75" customHeight="1" s="71"/>
    <row r="579" ht="15.75" customHeight="1" s="71"/>
    <row r="580" ht="15.75" customHeight="1" s="71"/>
    <row r="581" ht="15.75" customHeight="1" s="71"/>
    <row r="582" ht="15.75" customHeight="1" s="71"/>
    <row r="583" ht="15.75" customHeight="1" s="71"/>
    <row r="584" ht="15.75" customHeight="1" s="71"/>
    <row r="585" ht="15.75" customHeight="1" s="71"/>
    <row r="586" ht="15.75" customHeight="1" s="71"/>
    <row r="587" ht="15.75" customHeight="1" s="71"/>
    <row r="588" ht="15.75" customHeight="1" s="71"/>
    <row r="589" ht="15.75" customHeight="1" s="71"/>
    <row r="590" ht="15.75" customHeight="1" s="71"/>
    <row r="591" ht="15.75" customHeight="1" s="71"/>
    <row r="592" ht="15.75" customHeight="1" s="71"/>
    <row r="593" ht="15.75" customHeight="1" s="71"/>
    <row r="594" ht="15.75" customHeight="1" s="71"/>
    <row r="595" ht="15.75" customHeight="1" s="71"/>
    <row r="596" ht="15.75" customHeight="1" s="71"/>
    <row r="597" ht="15.75" customHeight="1" s="71"/>
    <row r="598" ht="15.75" customHeight="1" s="71"/>
    <row r="599" ht="15.75" customHeight="1" s="71"/>
    <row r="600" ht="15.75" customHeight="1" s="71"/>
    <row r="601" ht="15.75" customHeight="1" s="71"/>
    <row r="602" ht="15.75" customHeight="1" s="71"/>
    <row r="603" ht="15.75" customHeight="1" s="71"/>
    <row r="604" ht="15.75" customHeight="1" s="71"/>
    <row r="605" ht="15.75" customHeight="1" s="71"/>
    <row r="606" ht="15.75" customHeight="1" s="71"/>
    <row r="607" ht="15.75" customHeight="1" s="71"/>
    <row r="608" ht="15.75" customHeight="1" s="71"/>
    <row r="609" ht="15.75" customHeight="1" s="71"/>
    <row r="610" ht="15.75" customHeight="1" s="71"/>
    <row r="611" ht="15.75" customHeight="1" s="71"/>
    <row r="612" ht="15.75" customHeight="1" s="71"/>
    <row r="613" ht="15.75" customHeight="1" s="71"/>
    <row r="614" ht="15.75" customHeight="1" s="71"/>
    <row r="615" ht="15.75" customHeight="1" s="71"/>
    <row r="616" ht="15.75" customHeight="1" s="71"/>
    <row r="617" ht="15.75" customHeight="1" s="71"/>
    <row r="618" ht="15.75" customHeight="1" s="71"/>
    <row r="619" ht="15.75" customHeight="1" s="71"/>
    <row r="620" ht="15.75" customHeight="1" s="71"/>
    <row r="621" ht="15.75" customHeight="1" s="71"/>
    <row r="622" ht="15.75" customHeight="1" s="71"/>
    <row r="623" ht="15.75" customHeight="1" s="71"/>
    <row r="624" ht="15.75" customHeight="1" s="71"/>
    <row r="625" ht="15.75" customHeight="1" s="71"/>
    <row r="626" ht="15.75" customHeight="1" s="71"/>
    <row r="627" ht="15.75" customHeight="1" s="71"/>
    <row r="628" ht="15.75" customHeight="1" s="71"/>
    <row r="629" ht="15.75" customHeight="1" s="71"/>
    <row r="630" ht="15.75" customHeight="1" s="71"/>
    <row r="631" ht="15.75" customHeight="1" s="71"/>
    <row r="632" ht="15.75" customHeight="1" s="71"/>
    <row r="633" ht="15.75" customHeight="1" s="71"/>
    <row r="634" ht="15.75" customHeight="1" s="71"/>
    <row r="635" ht="15.75" customHeight="1" s="71"/>
    <row r="636" ht="15.75" customHeight="1" s="71"/>
    <row r="637" ht="15.75" customHeight="1" s="71"/>
    <row r="638" ht="15.75" customHeight="1" s="71"/>
    <row r="639" ht="15.75" customHeight="1" s="71"/>
    <row r="640" ht="15.75" customHeight="1" s="71"/>
    <row r="641" ht="15.75" customHeight="1" s="71"/>
    <row r="642" ht="15.75" customHeight="1" s="71"/>
    <row r="643" ht="15.75" customHeight="1" s="71"/>
    <row r="644" ht="15.75" customHeight="1" s="71"/>
    <row r="645" ht="15.75" customHeight="1" s="71"/>
    <row r="646" ht="15.75" customHeight="1" s="71"/>
    <row r="647" ht="15.75" customHeight="1" s="71"/>
    <row r="648" ht="15.75" customHeight="1" s="71"/>
    <row r="649" ht="15.75" customHeight="1" s="71"/>
    <row r="650" ht="15.75" customHeight="1" s="71"/>
    <row r="651" ht="15.75" customHeight="1" s="71"/>
    <row r="652" ht="15.75" customHeight="1" s="71"/>
    <row r="653" ht="15.75" customHeight="1" s="71"/>
    <row r="654" ht="15.75" customHeight="1" s="71"/>
    <row r="655" ht="15.75" customHeight="1" s="71"/>
    <row r="656" ht="15.75" customHeight="1" s="71"/>
    <row r="657" ht="15.75" customHeight="1" s="71"/>
    <row r="658" ht="15.75" customHeight="1" s="71"/>
    <row r="659" ht="15.75" customHeight="1" s="71"/>
    <row r="660" ht="15.75" customHeight="1" s="71"/>
    <row r="661" ht="15.75" customHeight="1" s="71"/>
    <row r="662" ht="15.75" customHeight="1" s="71"/>
    <row r="663" ht="15.75" customHeight="1" s="71"/>
    <row r="664" ht="15.75" customHeight="1" s="71"/>
    <row r="665" ht="15.75" customHeight="1" s="71"/>
    <row r="666" ht="15.75" customHeight="1" s="71"/>
    <row r="667" ht="15.75" customHeight="1" s="71"/>
    <row r="668" ht="15.75" customHeight="1" s="71"/>
    <row r="669" ht="15.75" customHeight="1" s="71"/>
    <row r="670" ht="15.75" customHeight="1" s="71"/>
    <row r="671" ht="15.75" customHeight="1" s="71"/>
    <row r="672" ht="15.75" customHeight="1" s="71"/>
    <row r="673" ht="15.75" customHeight="1" s="71"/>
    <row r="674" ht="15.75" customHeight="1" s="71"/>
    <row r="675" ht="15.75" customHeight="1" s="71"/>
    <row r="676" ht="15.75" customHeight="1" s="71"/>
    <row r="677" ht="15.75" customHeight="1" s="71"/>
    <row r="678" ht="15.75" customHeight="1" s="71"/>
    <row r="679" ht="15.75" customHeight="1" s="71"/>
    <row r="680" ht="15.75" customHeight="1" s="71"/>
    <row r="681" ht="15.75" customHeight="1" s="71"/>
    <row r="682" ht="15.75" customHeight="1" s="71"/>
    <row r="683" ht="15.75" customHeight="1" s="71"/>
    <row r="684" ht="15.75" customHeight="1" s="71"/>
    <row r="685" ht="15.75" customHeight="1" s="71"/>
    <row r="686" ht="15.75" customHeight="1" s="71"/>
    <row r="687" ht="15.75" customHeight="1" s="71"/>
    <row r="688" ht="15.75" customHeight="1" s="71"/>
    <row r="689" ht="15.75" customHeight="1" s="71"/>
    <row r="690" ht="15.75" customHeight="1" s="71"/>
    <row r="691" ht="15.75" customHeight="1" s="71"/>
    <row r="692" ht="15.75" customHeight="1" s="71"/>
    <row r="693" ht="15.75" customHeight="1" s="71"/>
    <row r="694" ht="15.75" customHeight="1" s="71"/>
    <row r="695" ht="15.75" customHeight="1" s="71"/>
    <row r="696" ht="15.75" customHeight="1" s="71"/>
    <row r="697" ht="15.75" customHeight="1" s="71"/>
    <row r="698" ht="15.75" customHeight="1" s="71"/>
    <row r="699" ht="15.75" customHeight="1" s="71"/>
    <row r="700" ht="15.75" customHeight="1" s="71"/>
    <row r="701" ht="15.75" customHeight="1" s="71"/>
    <row r="702" ht="15.75" customHeight="1" s="71"/>
    <row r="703" ht="15.75" customHeight="1" s="71"/>
    <row r="704" ht="15.75" customHeight="1" s="71"/>
    <row r="705" ht="15.75" customHeight="1" s="71"/>
    <row r="706" ht="15.75" customHeight="1" s="71"/>
    <row r="707" ht="15.75" customHeight="1" s="71"/>
    <row r="708" ht="15.75" customHeight="1" s="71"/>
    <row r="709" ht="15.75" customHeight="1" s="71"/>
    <row r="710" ht="15.75" customHeight="1" s="71"/>
    <row r="711" ht="15.75" customHeight="1" s="71"/>
    <row r="712" ht="15.75" customHeight="1" s="71"/>
    <row r="713" ht="15.75" customHeight="1" s="71"/>
    <row r="714" ht="15.75" customHeight="1" s="71"/>
    <row r="715" ht="15.75" customHeight="1" s="71"/>
    <row r="716" ht="15.75" customHeight="1" s="71"/>
    <row r="717" ht="15.75" customHeight="1" s="71"/>
    <row r="718" ht="15.75" customHeight="1" s="71"/>
    <row r="719" ht="15.75" customHeight="1" s="71"/>
    <row r="720" ht="15.75" customHeight="1" s="71"/>
    <row r="721" ht="15.75" customHeight="1" s="71"/>
    <row r="722" ht="15.75" customHeight="1" s="71"/>
    <row r="723" ht="15.75" customHeight="1" s="71"/>
    <row r="724" ht="15.75" customHeight="1" s="71"/>
    <row r="725" ht="15.75" customHeight="1" s="71"/>
    <row r="726" ht="15.75" customHeight="1" s="71"/>
    <row r="727" ht="15.75" customHeight="1" s="71"/>
    <row r="728" ht="15.75" customHeight="1" s="71"/>
    <row r="729" ht="15.75" customHeight="1" s="71"/>
    <row r="730" ht="15.75" customHeight="1" s="71"/>
    <row r="731" ht="15.75" customHeight="1" s="71"/>
    <row r="732" ht="15.75" customHeight="1" s="71"/>
    <row r="733" ht="15.75" customHeight="1" s="71"/>
    <row r="734" ht="15.75" customHeight="1" s="71"/>
    <row r="735" ht="15.75" customHeight="1" s="71"/>
    <row r="736" ht="15.75" customHeight="1" s="71"/>
    <row r="737" ht="15.75" customHeight="1" s="71"/>
    <row r="738" ht="15.75" customHeight="1" s="71"/>
    <row r="739" ht="15.75" customHeight="1" s="71"/>
    <row r="740" ht="15.75" customHeight="1" s="71"/>
    <row r="741" ht="15.75" customHeight="1" s="71"/>
    <row r="742" ht="15.75" customHeight="1" s="71"/>
    <row r="743" ht="15.75" customHeight="1" s="71"/>
    <row r="744" ht="15.75" customHeight="1" s="71"/>
    <row r="745" ht="15.75" customHeight="1" s="71"/>
    <row r="746" ht="15.75" customHeight="1" s="71"/>
    <row r="747" ht="15.75" customHeight="1" s="71"/>
    <row r="748" ht="15.75" customHeight="1" s="71"/>
    <row r="749" ht="15.75" customHeight="1" s="71"/>
    <row r="750" ht="15.75" customHeight="1" s="71"/>
    <row r="751" ht="15.75" customHeight="1" s="71"/>
    <row r="752" ht="15.75" customHeight="1" s="71"/>
    <row r="753" ht="15.75" customHeight="1" s="71"/>
    <row r="754" ht="15.75" customHeight="1" s="71"/>
    <row r="755" ht="15.75" customHeight="1" s="71"/>
    <row r="756" ht="15.75" customHeight="1" s="71"/>
    <row r="757" ht="15.75" customHeight="1" s="71"/>
    <row r="758" ht="15.75" customHeight="1" s="71"/>
    <row r="759" ht="15.75" customHeight="1" s="71"/>
    <row r="760" ht="15.75" customHeight="1" s="71"/>
    <row r="761" ht="15.75" customHeight="1" s="71"/>
    <row r="762" ht="15.75" customHeight="1" s="71"/>
    <row r="763" ht="15.75" customHeight="1" s="71"/>
    <row r="764" ht="15.75" customHeight="1" s="71"/>
    <row r="765" ht="15.75" customHeight="1" s="71"/>
    <row r="766" ht="15.75" customHeight="1" s="71"/>
    <row r="767" ht="15.75" customHeight="1" s="71"/>
    <row r="768" ht="15.75" customHeight="1" s="71"/>
    <row r="769" ht="15.75" customHeight="1" s="71"/>
    <row r="770" ht="15.75" customHeight="1" s="71"/>
    <row r="771" ht="15.75" customHeight="1" s="71"/>
    <row r="772" ht="15.75" customHeight="1" s="71"/>
    <row r="773" ht="15.75" customHeight="1" s="71"/>
    <row r="774" ht="15.75" customHeight="1" s="71"/>
    <row r="775" ht="15.75" customHeight="1" s="71"/>
    <row r="776" ht="15.75" customHeight="1" s="71"/>
    <row r="777" ht="15.75" customHeight="1" s="71"/>
    <row r="778" ht="15.75" customHeight="1" s="71"/>
    <row r="779" ht="15.75" customHeight="1" s="71"/>
    <row r="780" ht="15.75" customHeight="1" s="71"/>
    <row r="781" ht="15.75" customHeight="1" s="71"/>
    <row r="782" ht="15.75" customHeight="1" s="71"/>
    <row r="783" ht="15.75" customHeight="1" s="71"/>
    <row r="784" ht="15.75" customHeight="1" s="71"/>
    <row r="785" ht="15.75" customHeight="1" s="71"/>
    <row r="786" ht="15.75" customHeight="1" s="71"/>
    <row r="787" ht="15.75" customHeight="1" s="71"/>
    <row r="788" ht="15.75" customHeight="1" s="71"/>
    <row r="789" ht="15.75" customHeight="1" s="71"/>
    <row r="790" ht="15.75" customHeight="1" s="71"/>
    <row r="791" ht="15.75" customHeight="1" s="71"/>
    <row r="792" ht="15.75" customHeight="1" s="71"/>
    <row r="793" ht="15.75" customHeight="1" s="71"/>
    <row r="794" ht="15.75" customHeight="1" s="71"/>
    <row r="795" ht="15.75" customHeight="1" s="71"/>
    <row r="796" ht="15.75" customHeight="1" s="71"/>
    <row r="797" ht="15.75" customHeight="1" s="71"/>
    <row r="798" ht="15.75" customHeight="1" s="71"/>
    <row r="799" ht="15.75" customHeight="1" s="71"/>
    <row r="800" ht="15.75" customHeight="1" s="71"/>
    <row r="801" ht="15.75" customHeight="1" s="71"/>
    <row r="802" ht="15.75" customHeight="1" s="71"/>
    <row r="803" ht="15.75" customHeight="1" s="71"/>
    <row r="804" ht="15.75" customHeight="1" s="71"/>
    <row r="805" ht="15.75" customHeight="1" s="71"/>
    <row r="806" ht="15.75" customHeight="1" s="71"/>
    <row r="807" ht="15.75" customHeight="1" s="71"/>
    <row r="808" ht="15.75" customHeight="1" s="71"/>
    <row r="809" ht="15.75" customHeight="1" s="71"/>
    <row r="810" ht="15.75" customHeight="1" s="71"/>
    <row r="811" ht="15.75" customHeight="1" s="71"/>
    <row r="812" ht="15.75" customHeight="1" s="71"/>
    <row r="813" ht="15.75" customHeight="1" s="71"/>
    <row r="814" ht="15.75" customHeight="1" s="71"/>
    <row r="815" ht="15.75" customHeight="1" s="71"/>
    <row r="816" ht="15.75" customHeight="1" s="71"/>
    <row r="817" ht="15.75" customHeight="1" s="71"/>
    <row r="818" ht="15.75" customHeight="1" s="71"/>
    <row r="819" ht="15.75" customHeight="1" s="71"/>
    <row r="820" ht="15.75" customHeight="1" s="71"/>
    <row r="821" ht="15.75" customHeight="1" s="71"/>
    <row r="822" ht="15.75" customHeight="1" s="71"/>
    <row r="823" ht="15.75" customHeight="1" s="71"/>
    <row r="824" ht="15.75" customHeight="1" s="71"/>
    <row r="825" ht="15.75" customHeight="1" s="71"/>
    <row r="826" ht="15.75" customHeight="1" s="71"/>
    <row r="827" ht="15.75" customHeight="1" s="71"/>
    <row r="828" ht="15.75" customHeight="1" s="71"/>
    <row r="829" ht="15.75" customHeight="1" s="71"/>
    <row r="830" ht="15.75" customHeight="1" s="71"/>
    <row r="831" ht="15.75" customHeight="1" s="71"/>
    <row r="832" ht="15.75" customHeight="1" s="71"/>
    <row r="833" ht="15.75" customHeight="1" s="71"/>
    <row r="834" ht="15.75" customHeight="1" s="71"/>
    <row r="835" ht="15.75" customHeight="1" s="71"/>
    <row r="836" ht="15.75" customHeight="1" s="71"/>
    <row r="837" ht="15.75" customHeight="1" s="71"/>
    <row r="838" ht="15.75" customHeight="1" s="71"/>
    <row r="839" ht="15.75" customHeight="1" s="71"/>
    <row r="840" ht="15.75" customHeight="1" s="71"/>
    <row r="841" ht="15.75" customHeight="1" s="71"/>
    <row r="842" ht="15.75" customHeight="1" s="71"/>
    <row r="843" ht="15.75" customHeight="1" s="71"/>
    <row r="844" ht="15.75" customHeight="1" s="71"/>
    <row r="845" ht="15.75" customHeight="1" s="71"/>
    <row r="846" ht="15.75" customHeight="1" s="71"/>
    <row r="847" ht="15.75" customHeight="1" s="71"/>
    <row r="848" ht="15.75" customHeight="1" s="71"/>
    <row r="849" ht="15.75" customHeight="1" s="71"/>
    <row r="850" ht="15.75" customHeight="1" s="71"/>
    <row r="851" ht="15.75" customHeight="1" s="71"/>
    <row r="852" ht="15.75" customHeight="1" s="71"/>
    <row r="853" ht="15.75" customHeight="1" s="71"/>
    <row r="854" ht="15.75" customHeight="1" s="71"/>
    <row r="855" ht="15.75" customHeight="1" s="71"/>
    <row r="856" ht="15.75" customHeight="1" s="71"/>
    <row r="857" ht="15.75" customHeight="1" s="71"/>
    <row r="858" ht="15.75" customHeight="1" s="71"/>
    <row r="859" ht="15.75" customHeight="1" s="71"/>
    <row r="860" ht="15.75" customHeight="1" s="71"/>
    <row r="861" ht="15.75" customHeight="1" s="71"/>
    <row r="862" ht="15.75" customHeight="1" s="71"/>
    <row r="863" ht="15.75" customHeight="1" s="71"/>
    <row r="864" ht="15.75" customHeight="1" s="71"/>
    <row r="865" ht="15.75" customHeight="1" s="71"/>
    <row r="866" ht="15.75" customHeight="1" s="71"/>
    <row r="867" ht="15.75" customHeight="1" s="71"/>
    <row r="868" ht="15.75" customHeight="1" s="71"/>
    <row r="869" ht="15.75" customHeight="1" s="71"/>
    <row r="870" ht="15.75" customHeight="1" s="71"/>
    <row r="871" ht="15.75" customHeight="1" s="71"/>
    <row r="872" ht="15.75" customHeight="1" s="71"/>
    <row r="873" ht="15.75" customHeight="1" s="71"/>
    <row r="874" ht="15.75" customHeight="1" s="71"/>
    <row r="875" ht="15.75" customHeight="1" s="71"/>
    <row r="876" ht="15.75" customHeight="1" s="71"/>
    <row r="877" ht="15.75" customHeight="1" s="71"/>
    <row r="878" ht="15.75" customHeight="1" s="71"/>
    <row r="879" ht="15.75" customHeight="1" s="71"/>
    <row r="880" ht="15.75" customHeight="1" s="71"/>
    <row r="881" ht="15.75" customHeight="1" s="71"/>
    <row r="882" ht="15.75" customHeight="1" s="71"/>
    <row r="883" ht="15.75" customHeight="1" s="71"/>
    <row r="884" ht="15.75" customHeight="1" s="71"/>
    <row r="885" ht="15.75" customHeight="1" s="71"/>
    <row r="886" ht="15.75" customHeight="1" s="71"/>
    <row r="887" ht="15.75" customHeight="1" s="71"/>
    <row r="888" ht="15.75" customHeight="1" s="71"/>
    <row r="889" ht="15.75" customHeight="1" s="71"/>
    <row r="890" ht="15.75" customHeight="1" s="71"/>
    <row r="891" ht="15.75" customHeight="1" s="71"/>
    <row r="892" ht="15.75" customHeight="1" s="71"/>
    <row r="893" ht="15.75" customHeight="1" s="71"/>
    <row r="894" ht="15.75" customHeight="1" s="71"/>
    <row r="895" ht="15.75" customHeight="1" s="71"/>
    <row r="896" ht="15.75" customHeight="1" s="71"/>
    <row r="897" ht="15.75" customHeight="1" s="71"/>
    <row r="898" ht="15.75" customHeight="1" s="71"/>
    <row r="899" ht="15.75" customHeight="1" s="71"/>
    <row r="900" ht="15.75" customHeight="1" s="71"/>
    <row r="901" ht="15.75" customHeight="1" s="71"/>
    <row r="902" ht="15.75" customHeight="1" s="71"/>
    <row r="903" ht="15.75" customHeight="1" s="71"/>
    <row r="904" ht="15.75" customHeight="1" s="71"/>
    <row r="905" ht="15.75" customHeight="1" s="71"/>
    <row r="906" ht="15.75" customHeight="1" s="71"/>
    <row r="907" ht="15.75" customHeight="1" s="71"/>
    <row r="908" ht="15.75" customHeight="1" s="71"/>
    <row r="909" ht="15.75" customHeight="1" s="71"/>
    <row r="910" ht="15.75" customHeight="1" s="71"/>
    <row r="911" ht="15.75" customHeight="1" s="71"/>
    <row r="912" ht="15.75" customHeight="1" s="71"/>
    <row r="913" ht="15.75" customHeight="1" s="71"/>
    <row r="914" ht="15.75" customHeight="1" s="71"/>
    <row r="915" ht="15.75" customHeight="1" s="71"/>
    <row r="916" ht="15.75" customHeight="1" s="71"/>
    <row r="917" ht="15.75" customHeight="1" s="71"/>
    <row r="918" ht="15.75" customHeight="1" s="71"/>
    <row r="919" ht="15.75" customHeight="1" s="71"/>
    <row r="920" ht="15.75" customHeight="1" s="71"/>
    <row r="921" ht="15.75" customHeight="1" s="71"/>
    <row r="922" ht="15.75" customHeight="1" s="71"/>
    <row r="923" ht="15.75" customHeight="1" s="71"/>
    <row r="924" ht="15.75" customHeight="1" s="71"/>
    <row r="925" ht="15.75" customHeight="1" s="71"/>
    <row r="926" ht="15.75" customHeight="1" s="71"/>
    <row r="927" ht="15.75" customHeight="1" s="71"/>
    <row r="928" ht="15.75" customHeight="1" s="71"/>
    <row r="929" ht="15.75" customHeight="1" s="71"/>
    <row r="930" ht="15.75" customHeight="1" s="71"/>
    <row r="931" ht="15.75" customHeight="1" s="71"/>
    <row r="932" ht="15.75" customHeight="1" s="71"/>
    <row r="933" ht="15.75" customHeight="1" s="71"/>
    <row r="934" ht="15.75" customHeight="1" s="71"/>
    <row r="935" ht="15.75" customHeight="1" s="71"/>
    <row r="936" ht="15.75" customHeight="1" s="71"/>
    <row r="937" ht="15.75" customHeight="1" s="71"/>
    <row r="938" ht="15.75" customHeight="1" s="71"/>
    <row r="939" ht="15.75" customHeight="1" s="71"/>
    <row r="940" ht="15.75" customHeight="1" s="71"/>
    <row r="941" ht="15.75" customHeight="1" s="71"/>
    <row r="942" ht="15.75" customHeight="1" s="71"/>
    <row r="943" ht="15.75" customHeight="1" s="71"/>
    <row r="944" ht="15.75" customHeight="1" s="71"/>
    <row r="945" ht="15.75" customHeight="1" s="71"/>
    <row r="946" ht="15.75" customHeight="1" s="71"/>
    <row r="947" ht="15.75" customHeight="1" s="71"/>
    <row r="948" ht="15.75" customHeight="1" s="71"/>
    <row r="949" ht="15.75" customHeight="1" s="71"/>
    <row r="950" ht="15.75" customHeight="1" s="71"/>
    <row r="951" ht="15.75" customHeight="1" s="71"/>
    <row r="952" ht="15.75" customHeight="1" s="71"/>
    <row r="953" ht="15.75" customHeight="1" s="71"/>
    <row r="954" ht="15.75" customHeight="1" s="71"/>
    <row r="955" ht="15.75" customHeight="1" s="71"/>
    <row r="956" ht="15.75" customHeight="1" s="71"/>
    <row r="957" ht="15.75" customHeight="1" s="71"/>
    <row r="958" ht="15.75" customHeight="1" s="71"/>
    <row r="959" ht="15.75" customHeight="1" s="71"/>
    <row r="960" ht="15.75" customHeight="1" s="71"/>
    <row r="961" ht="15.75" customHeight="1" s="71"/>
    <row r="962" ht="15.75" customHeight="1" s="71"/>
    <row r="963" ht="15.75" customHeight="1" s="71"/>
    <row r="964" ht="15.75" customHeight="1" s="71"/>
    <row r="965" ht="15.75" customHeight="1" s="71"/>
    <row r="966" ht="15.75" customHeight="1" s="71"/>
    <row r="967" ht="15.75" customHeight="1" s="71"/>
    <row r="968" ht="15.75" customHeight="1" s="71"/>
    <row r="969" ht="15.75" customHeight="1" s="71"/>
    <row r="970" ht="15.75" customHeight="1" s="71"/>
    <row r="971" ht="15.75" customHeight="1" s="71"/>
    <row r="972" ht="15.75" customHeight="1" s="71"/>
    <row r="973" ht="15.75" customHeight="1" s="71"/>
    <row r="974" ht="15.75" customHeight="1" s="71"/>
    <row r="975" ht="15.75" customHeight="1" s="71"/>
    <row r="976" ht="15.75" customHeight="1" s="71"/>
    <row r="977" ht="15.75" customHeight="1" s="71"/>
    <row r="978" ht="15.75" customHeight="1" s="71"/>
    <row r="979" ht="15.75" customHeight="1" s="71"/>
    <row r="980" ht="15.75" customHeight="1" s="71"/>
    <row r="981" ht="15.75" customHeight="1" s="71"/>
    <row r="982" ht="15.75" customHeight="1" s="71"/>
    <row r="983" ht="15.75" customHeight="1" s="71"/>
    <row r="984" ht="15.75" customHeight="1" s="71"/>
    <row r="985" ht="15.75" customHeight="1" s="71"/>
    <row r="986" ht="15.75" customHeight="1" s="71"/>
    <row r="987" ht="15.75" customHeight="1" s="71"/>
    <row r="988" ht="15.75" customHeight="1" s="71"/>
    <row r="989" ht="15.75" customHeight="1" s="71"/>
    <row r="990" ht="15.75" customHeight="1" s="71"/>
    <row r="991" ht="15.75" customHeight="1" s="71"/>
    <row r="992" ht="15.75" customHeight="1" s="71"/>
    <row r="993" ht="15.75" customHeight="1" s="71"/>
    <row r="994" ht="15.75" customHeight="1" s="71"/>
    <row r="995" ht="15.75" customHeight="1" s="71"/>
    <row r="996" ht="15.75" customHeight="1" s="71"/>
    <row r="997" ht="15.75" customHeight="1" s="71"/>
    <row r="998" ht="15.75" customHeight="1" s="71"/>
    <row r="999" ht="15.75" customHeight="1" s="71"/>
    <row r="1000" ht="15.75" customHeight="1" s="71"/>
  </sheetData>
  <autoFilter ref="A1:D14"/>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H82"/>
  <sheetViews>
    <sheetView tabSelected="1" zoomScaleNormal="100" workbookViewId="0">
      <pane ySplit="2" topLeftCell="A3" activePane="bottomLeft" state="frozen"/>
      <selection pane="bottomLeft" activeCell="A3" sqref="A3:A6"/>
    </sheetView>
  </sheetViews>
  <sheetFormatPr baseColWidth="8" defaultColWidth="14.42578125" defaultRowHeight="15"/>
  <cols>
    <col width="13" customWidth="1" style="71" min="1" max="1"/>
    <col width="8" customWidth="1" style="71" min="2" max="2"/>
    <col width="9" customWidth="1" style="71" min="3" max="3"/>
    <col width="44" customWidth="1" style="71" min="4" max="7"/>
    <col width="56" customWidth="1" style="71" min="8" max="8"/>
    <col width="8.7109375" customWidth="1" style="71" min="9" max="26"/>
  </cols>
  <sheetData>
    <row r="1" ht="23.25" customHeight="1" s="71">
      <c r="A1" s="74" t="inlineStr">
        <is>
          <t>Rule: try on my own for 30 minutes before asking anyone for help — check resources, test my best guess — then ask if still stuck.
Rule: always verify medical claims, education industry claims, business numbers, dates, location, and citation sources before trusting them.
Rule: Before picking a fidelity, name the single specific uncertainty you're actually trying to resolve — then ask "would this artifact even let me test that, or would it only test something that looks related?" — and pick the lowest fidelity that genuinely resolves it.</t>
        </is>
      </c>
    </row>
    <row r="2" ht="15" customHeight="1" s="71">
      <c r="A2" s="15" t="inlineStr">
        <is>
          <t>Date</t>
        </is>
      </c>
      <c r="B2" s="15" t="inlineStr">
        <is>
          <t>Module</t>
        </is>
      </c>
      <c r="C2" s="15" t="inlineStr">
        <is>
          <t>Task ID</t>
        </is>
      </c>
      <c r="D2" s="15" t="inlineStr">
        <is>
          <t>What I made today</t>
        </is>
      </c>
      <c r="E2" s="15" t="inlineStr">
        <is>
          <t>What confused me</t>
        </is>
      </c>
      <c r="F2" s="15" t="inlineStr">
        <is>
          <t>What I want to ask</t>
        </is>
      </c>
      <c r="G2" s="15" t="inlineStr">
        <is>
          <t>One thing I'd do differently</t>
        </is>
      </c>
      <c r="H2" s="15" t="inlineStr">
        <is>
          <t>Weekly review (Fridays)</t>
        </is>
      </c>
    </row>
    <row r="3" ht="120" customHeight="1" s="71">
      <c r="A3" s="37" t="n">
        <v>46272</v>
      </c>
      <c r="B3" s="38" t="n">
        <v>0</v>
      </c>
      <c r="C3" s="38" t="n">
        <v>0.1</v>
      </c>
      <c r="D3" s="39" t="inlineStr">
        <is>
          <t>Read 15 policies and made notes of all the unfamiliar terms, also clarified some doubts related to policy to the mentor (Nidhi).</t>
        </is>
      </c>
      <c r="E3" s="39" t="inlineStr">
        <is>
          <t>Some unfamiliar coorporate terminologies.</t>
        </is>
      </c>
      <c r="F3" s="33" t="inlineStr">
        <is>
          <t>Want to know more about the softwares that the company uses for cloud infrastructure management like AWS, Azure, GCP etc. What are the services offered by each of them? What is the speciality of each software? What is the reason relying on multiple softwares instead of one or two? Comparison analysis between them.</t>
        </is>
      </c>
      <c r="G3" s="33" t="inlineStr">
        <is>
          <t xml:space="preserve">Would make notes while reading the policies. </t>
        </is>
      </c>
      <c r="H3" s="40" t="inlineStr">
        <is>
          <t>Weekly: the three things I understand better than Monday · the one thing I have been avoiding · what I want more of next week · what I want less of next week</t>
        </is>
      </c>
    </row>
    <row r="4" ht="75" customHeight="1" s="71">
      <c r="A4" s="37" t="n">
        <v>46273</v>
      </c>
      <c r="B4" s="42" t="n">
        <v>0</v>
      </c>
      <c r="C4" s="42" t="n">
        <v>0.2</v>
      </c>
      <c r="D4" s="35" t="inlineStr">
        <is>
          <t>Went through all the company policies and set up Claude by creating a folder structure on my machine first and then asked my mentor about which internal tools, I have access to: Cowork and Claude design</t>
        </is>
      </c>
      <c r="E4" s="35" t="inlineStr">
        <is>
          <t>I was asked to switch on code execution and file creation feature under Settings &gt; Capabilities but I couldn't find the feature there.</t>
        </is>
      </c>
      <c r="F4" s="35" t="inlineStr">
        <is>
          <t>I created the folder structure on my machine through Claude itself, I am wondering if there is also a manual way of doing so. Also, how Cowork and Claude Design is useful to me.</t>
        </is>
      </c>
      <c r="G4" s="35" t="inlineStr">
        <is>
          <t>When I wasn't able to find the switch to code execution/file creation, I could have looked at the Claude Help Center.</t>
        </is>
      </c>
      <c r="H4" s="35" t="n"/>
    </row>
    <row r="5" ht="105" customHeight="1" s="71">
      <c r="A5" s="37" t="n">
        <v>46273</v>
      </c>
      <c r="B5" s="38" t="n">
        <v>0</v>
      </c>
      <c r="C5" s="38" t="n">
        <v>0.3</v>
      </c>
      <c r="D5" s="39" t="inlineStr">
        <is>
          <t>Set up a Claude Project called Phase 1 Learning Journal, added custom instructions telling it to ask me one sharp question about whatever confused me instead of reassuring me, copied the journal template into 01-Journal, then wrote today's entry covering Tasks 0.1 and 0.2 and pasted it in to see what it would ask back.</t>
        </is>
      </c>
      <c r="E5" s="39" t="inlineStr">
        <is>
          <t>Claude pushed back on the Sept 9 entry — I said I couldn't find the code-execution/file-creation toggle under Settings &gt; Capabilities, but I never actually checked whether that's a personal setting or an org-admin control I don't have permission to flip.</t>
        </is>
      </c>
      <c r="F5" s="33" t="inlineStr">
        <is>
          <t>Who on my account actually has admin rights to flip org-level settings like that, so I know who to ask instead of assuming a feature doesn't exist?</t>
        </is>
      </c>
      <c r="G5" s="33" t="inlineStr">
        <is>
          <t>Before saying a feature "isn't there," I'd check whether it's gated behind a permission level I don't have, rather than assuming it's missing entirely.</t>
        </is>
      </c>
      <c r="H5" s="40" t="n"/>
    </row>
    <row r="6" ht="409.5" customHeight="1" s="71">
      <c r="A6" s="37" t="n">
        <v>46274</v>
      </c>
      <c r="B6" s="38" t="n">
        <v>0</v>
      </c>
      <c r="C6" s="38" t="n">
        <v>0.4</v>
      </c>
      <c r="D6" s="43" t="inlineStr">
        <is>
          <t>Before: 
1. The progress has been smooth so far but I feel that this portion [of work] is attracting the possibility of [threat] therefore I urge [my superior] to take a close look at it and correct me if I am wrong. 
2. This thing should have been operated like [the method]  but I unknowningly did this [mistake] instead, I urge the concerned authorities to take immediate look at it. I deeply express my apologies and would be careful next time.
when you do the major work but struggle to stand up for yourself and hBeence let someone else take the credit of your work.
3. Since day one of being a part of this project, I have poured all my energy into it and not only completed the tasks assigned to me on time but also expanded my boundaries and took up some extra work. I just wanted to make my contribution in the project clear because initially I was struggling a bit to stand up for myself.
After:1. Flagging something in [specific portion]: [what you noticed]. If that's right, it could lead to [specific consequence] because [your reasoning]. Could we confirm [specific thing] before [deadline/next step]? Wanted to raise it while there's still time to adjust — happy to be wrong here. 2. I made a mistake on [task]: I used [method B] instead of [method A]. Impact so far: [who/what's affected]. I've already [contained it by doing X]. Going forward I'm going to [specific change, e.g. "confirm the method with you before starting" or "add a checklist step for this"]. 3. Flagging now so we can decide [next step] before [deadline]. Wanted to make sure the record's clear on [project]: I led [specific deliverable], and also took on [specific deliverable] outside my original scope. Happy to walk through the details anytime. Going forward, I'd like to present my own updates on this work so ownership is clear.</t>
        </is>
      </c>
      <c r="E6" s="33" t="n"/>
      <c r="F6" s="33" t="n"/>
      <c r="G6" s="33" t="n"/>
      <c r="H6" s="33" t="n"/>
    </row>
    <row r="7" ht="240" customHeight="1" s="71">
      <c r="A7" s="37" t="n">
        <v>46274</v>
      </c>
      <c r="B7" s="38" t="n">
        <v>0</v>
      </c>
      <c r="C7" s="38" t="n">
        <v>0.5</v>
      </c>
      <c r="D7" s="39" t="inlineStr">
        <is>
          <t>Read the ethics/dark-pattern articles, then pulled three dark patterns I've actually run into in Zomato: free-delivery tags tied to hidden thresholds that silently revert to a delivery fee, extra platform/handling fees that creep back in even when delivery is free, and Gold-membership prompts that fire right after I've already qualified for free delivery. Wrote the business-goal-vs-user-cost pair for each (forced buying, hidden costs, nagging into a subscription), then redesigned the third: only show the Gold prompt when I'm actually ineligible for free delivery, not every time I open the app. Debated it with Claude — argued both the case for it being acceptable business practice and the case against.</t>
        </is>
      </c>
      <c r="E7" s="39" t="inlineStr">
        <is>
          <t>The case for it being acceptable business practice was the harder one to counter — the "it's just normal upsell timing, not manipulation" argument held up better than I expected.</t>
        </is>
      </c>
      <c r="F7" s="33" t="inlineStr">
        <is>
          <t>Where's the actual line between this and something like Amazon pitching Prime at checkout? Claude's answer was that Zomato manufactures a false sense of losing something I already have — but how would I actually test for that in my own product before shipping it?</t>
        </is>
      </c>
      <c r="G7" s="33" t="inlineStr">
        <is>
          <t>I'd have picked a dark pattern I hadn't already half-justified in my head, so the redesign forced a real trade-off instead of an obvious fix.</t>
        </is>
      </c>
      <c r="H7" s="40" t="n"/>
    </row>
    <row r="8" ht="204" customFormat="1" customHeight="1" s="46">
      <c r="A8" s="44" t="n">
        <v>46275</v>
      </c>
      <c r="B8" s="45" t="n">
        <v>1</v>
      </c>
      <c r="C8" s="45" t="n">
        <v>1.1</v>
      </c>
      <c r="D8" s="45" t="inlineStr">
        <is>
          <t>Built on yesterday's videos by writing my own five-sentence, jargon-free explanation of what a language model does, then handed it to Claude for correction. Got pushback on three things — tokens aren't strictly alphanumeric, "weights" conflates model weights with attention weights, and "more layers = more refined response" isn't quite right — plus the big one: generation happens one token at a time, not all at once. Worked through why that means a model can state something false with full confidence: its "confidence" is really a measure of how plausible the phrasing looks, not a fact-check, and once it's committed to a wrong detail it just keeps building a fluent continuation around it rather than catching the error.</t>
        </is>
      </c>
      <c r="E8" s="45" t="inlineStr">
        <is>
          <t>The distinction between model weights (fixed, learned in training) and attention weights (dynamic, per-input) — I'd been treating "weights assigned to tokens" as one thing when it's actually two different concepts.</t>
        </is>
      </c>
      <c r="F8" s="45" t="inlineStr">
        <is>
          <t>Does sampling settings like temperature change how 'committed' a model gets to a wrong path once it's started one, or is that only about how random vs. predictable the token choice is?</t>
        </is>
      </c>
      <c r="G8" s="45" t="inlineStr">
        <is>
          <t>I'd have tried reasoning through the autoregressive point myself before Claude's scaffolding got me there — I got it eventually, but only after being walked through it directly.</t>
        </is>
      </c>
      <c r="H8" s="45" t="n"/>
    </row>
    <row r="9" ht="195" customHeight="1" s="71">
      <c r="A9" s="37" t="n">
        <v>46275</v>
      </c>
      <c r="B9" s="38" t="n">
        <v>1</v>
      </c>
      <c r="C9" s="38" t="n">
        <v>1.2</v>
      </c>
      <c r="D9" s="33" t="inlineStr">
        <is>
          <t>Wrote down the five-component "default skeleton" (Role · Context · Task · Format · Constraints), then used it to rewrite three deliberately lazy prompts — "write about design systems," "what is automation?," and "what are tickets?" — ran each lazy/crafted pair side by side and annotated five concrete differences for each (audience framing, AI-specific vs. generic content, structured vs. plain output, bounded length vs. none, plain language vs. industry jargon). Saved the skeleton itself to the Prompt Library as "Default skeleton."</t>
        </is>
      </c>
      <c r="E9" s="33" t="inlineStr">
        <is>
          <t>Wasn't sure at first where "role, context, task, format, constraints" should actually live — in the prompt text itself, a template, or somewhere else — until it clicked that it's a checklist to run through before writing any prompt, not a literal section header.</t>
        </is>
      </c>
      <c r="F9" s="33" t="inlineStr">
        <is>
          <t>Since the Default skeleton is a checklist rather than a prompt template like the others in the library, should it be its own separate thing, or is it fine sitting in the same list as the actual prompts?</t>
        </is>
      </c>
      <c r="G9" s="33" t="inlineStr">
        <is>
          <t>For both the automation and tickets prompts I built the five components one at a time with help — I'd have tried writing at least one crafted prompt from scratch solo, to test if I'd actually internalized the skeleton.</t>
        </is>
      </c>
      <c r="H9" s="33" t="n"/>
    </row>
    <row r="10" ht="135" customHeight="1" s="71">
      <c r="A10" s="41" t="n">
        <v>46275</v>
      </c>
      <c r="B10" s="42" t="n">
        <v>1</v>
      </c>
      <c r="C10" s="42" t="n">
        <v>1.3</v>
      </c>
      <c r="D10" s="35" t="inlineStr">
        <is>
          <t>Learned the actual prompting techniques from the best-practices page, then wrote four versions of a "summarise a client meeting into action items" prompt — bare, with examples, XML-tagged, and step-by-step — ran all four against a fictional client meeting, and ranked the outputs: bare came out on top, followed by step-by-step, then XML-tagged, with the with-examples version failing outright.</t>
        </is>
      </c>
      <c r="E10" s="35" t="inlineStr">
        <is>
          <t>Thought "with examples" meant giving one narrow literal example ("if X, write Y") rather than something that generalizes a pattern — took two attempts to actually get an example-based prompt that demonstrated a repeatable structure instead of a single hard-coded case.</t>
        </is>
      </c>
      <c r="F10" s="35" t="inlineStr">
        <is>
          <t>If a single example locks a prompt onto one narrow case, how many examples (or how varied) do they actually need to be before the pattern generalizes reliably?</t>
        </is>
      </c>
      <c r="G10" s="35" t="inlineStr">
        <is>
          <t>I'd have tested my few-shot prompt against a slightly different action item before ranking it, instead of judging it only on the exact case it was written around — would've caught the narrowness sooner.</t>
        </is>
      </c>
      <c r="H10" s="35" t="n"/>
    </row>
    <row r="11" ht="165" customHeight="1" s="71">
      <c r="A11" s="37" t="n">
        <v>46275</v>
      </c>
      <c r="B11" s="38" t="n">
        <v>1</v>
      </c>
      <c r="C11" s="38" t="n">
        <v>1.4</v>
      </c>
      <c r="D11" s="33" t="inlineStr">
        <is>
          <t>Ran a genuinely hard prompt (pet-sitting onboarding copy for anxious first-time users), then debugged it across five deliberate one-change-at-a-time rounds — adding a trust signal, swapping in positive language, cutting anxiety-triggering phrases, adding a brand-values line, and opening with a use-case question — and diagnosed each fix as missing constraints, missing constraints, missing constraints, missing context, and wrong format, respectively.</t>
        </is>
      </c>
      <c r="E11" s="33" t="inlineStr">
        <is>
          <t>Assumed adding content alongside a data point still counted as one change — got pushback that this actually tangles two variables together, so you can't tell which one caused any improvement.</t>
        </is>
      </c>
      <c r="F11" s="33" t="inlineStr">
        <is>
          <t>When a diagnosis could genuinely fall into two categories at once (like the brand-values line being either missing context or missing constraint), is there a rule of thumb for picking one, or is it fine to note both?</t>
        </is>
      </c>
      <c r="G11" s="33" t="inlineStr">
        <is>
          <t>I was supposed to write my three judging criteria before reading the first output, but wrote them after seeing it — which risks shaping the criteria around what I'd already noticed instead of judging blind.</t>
        </is>
      </c>
      <c r="H11" s="33" t="n"/>
    </row>
    <row r="12" ht="270" customHeight="1" s="71">
      <c r="A12" s="41" t="n">
        <v>46276</v>
      </c>
      <c r="B12" s="42" t="n">
        <v>1</v>
      </c>
      <c r="C12" s="42" t="n">
        <v>1.6</v>
      </c>
      <c r="D12" s="35" t="inlineStr">
        <is>
          <t>Set up the three Claude Projects (Design Learning, Product Learning, Brief Work) with distinct custom instructions and their own reference material — the Task 1.2 prompt-comparison file for Product Learning, the Task 1.4 PawCare debugging file for Brief Work, and four downloaded UX/design articles for Design Learning. Tested the same question (whether to gate signup behind email verification) across all three and compared the results: Product Learning reasoned as a business trade-off with competitor examples, Design Learning reasoned from UX principles and pushed back before agreeing, and Brief Work reasoned directly from my own PawCare project history via its uploaded file — while all three converged on essentially the same underlying recommendation.</t>
        </is>
      </c>
      <c r="E12" s="35" t="inlineStr">
        <is>
          <t>Whether the differences I saw across the three answers were really coming from the custom instructions, or mostly from which reference files were loaded — Brief Work's answer felt grounded specifically because of the uploaded file, not just its role description.</t>
        </is>
      </c>
      <c r="F12" s="35" t="inlineStr">
        <is>
          <t>Is there a way to test a Project's custom instructions in isolation from its reference files, to know which one is actually responsible for a given difference in the output?</t>
        </is>
      </c>
      <c r="G12" s="35" t="inlineStr">
        <is>
          <t>I'd have run a fourth version of the same question with no custom instructions and no files at all, as a true baseline, before concluding what the instructions specifically were adding.</t>
        </is>
      </c>
      <c r="H12" s="35" t="n"/>
    </row>
    <row r="13" ht="165" customHeight="1" s="71">
      <c r="A13" s="37" t="n">
        <v>46277</v>
      </c>
      <c r="B13" s="38" t="n">
        <v>1</v>
      </c>
      <c r="C13" s="38" t="n">
        <v>1.8</v>
      </c>
      <c r="D13" s="33" t="inlineStr">
        <is>
          <t>Completed Task 1.8 — asked Claude 5 verifiable factual questions, checked the answers against primary sources, and wrote my personal verification rule (pinned above).</t>
        </is>
      </c>
      <c r="E13" s="33" t="inlineStr">
        <is>
          <t>All five factual answers actually checked out correct against primary sources, so the exercise never caught an outright wrong answer. Two of the five were softer than the others, though — "ideal BMI range" doesn't have one universal number (it varies by guideline), and the Claude multi-agent-roles question depended on how strictly I read "without human interference." That fuzziness, not an actual error, is what really shaped which categories went into my verification rule.</t>
        </is>
      </c>
      <c r="F13" s="33" t="inlineStr">
        <is>
          <t>Should my verification rule also cover claims that are correct but context-dependent (like the BMI range), or is it meant only for claims that are flatly right or wrong?</t>
        </is>
      </c>
      <c r="G13" s="33" t="inlineStr">
        <is>
          <t>I'd pick a more deliberately mixed set of five questions next time — a couple of quick lookup facts, one genuinely contested/nuanced topic, and one about a fast-changing product feature — instead of mostly straightforward facts that were always likely to check out, so the exercise actually had a chance of catching a real gap.</t>
        </is>
      </c>
      <c r="H13" s="33" t="n"/>
    </row>
    <row r="14" ht="180" customHeight="1" s="71">
      <c r="A14" s="41" t="n">
        <v>46278</v>
      </c>
      <c r="B14" s="42" t="n">
        <v>1</v>
      </c>
      <c r="C14" s="42" t="n">
        <v>1.9</v>
      </c>
      <c r="D14" s="35" t="inlineStr">
        <is>
          <t>Completed Task 1.9 — built out the Prompt Library to 27 entries (12 self-built from Tasks 1.2–1.8), had Claude review it for weak spots, overlaps, and gaps, acted on that feedback (two renames, two new entries — RICE Prioritization and What's Notable in This Data), and saved the organized "My Prompt Library" doc into the Design Learning Project. Also went back and filled in the missing round-by-round prompt/output record for Task 1.4 Step 4 in the tasks doc, and backfilled estimated per-step hours across all of Module 1.</t>
        </is>
      </c>
      <c r="E14" s="35" t="inlineStr">
        <is>
          <t>I hadn't actually kept a full round-by-round record of Task 1.4 Step 4 when I did it, so when Task 1.9's review surfaced the gap, I had to reconstruct the round 5 prompt from memory rather than just pulling it up. I also got tripped up on the difference between renaming/broadening an existing prompt versus adding a genuinely new one when acting on Claude's review feedback — several of the "gaps" could have gone either way.</t>
        </is>
      </c>
      <c r="F14" s="35" t="inlineStr">
        <is>
          <t>The library already has two near-duplicate pairs (Tutor/Quiz vs. My Tutor/Quiz Me (mine)) that I built at different points without noticing the overlap. How do I decide, later, whether to merge near-duplicates like that or keep both because the small differences are actually worth preserving?</t>
        </is>
      </c>
      <c r="G14" s="35" t="inlineStr">
        <is>
          <t>I'd have saved the full round-by-round prompt/output record for Task 1.4 Step 4 at the time I actually ran it, instead of relying on memory to reconstruct it during a later task's review.</t>
        </is>
      </c>
      <c r="H14" s="35" t="n"/>
    </row>
    <row r="15" ht="255" customHeight="1" s="71">
      <c r="A15" s="37" t="n">
        <v>46279</v>
      </c>
      <c r="B15" s="38" t="n">
        <v>2</v>
      </c>
      <c r="C15" s="38" t="n">
        <v>2.1</v>
      </c>
      <c r="D15" s="33" t="inlineStr">
        <is>
          <t>Completed Task 2.1 — read up on the design thinking process end to end and drew the five stages with the backward loops on paper, then wrote a purpose/output/failure-mode table for each stage. Asked Claude for a real example of a product that skipped a stage — Juicero, which skipped a proper Define step by letting the business model (proprietary juice packets) override the actual problem statement (fresh juice, low effort). Picked Instagram to guess which stage its team invested most in — first guessed Ideate, reconsidered after pushback that most of my evidence was really about understanding user motivation, settled on Empathize, then came back to Ideate with sharper reasoning tied to how much the team iterated on and discarded features.</t>
        </is>
      </c>
      <c r="E15" s="33" t="inlineStr">
        <is>
          <t>I kept blurring the line between adjacent stages. In my Step 2 table I put the "How might we" question under Define's output when it's really the bridge into Ideate, and called Ideate's output "a shortlist" when Ideate is supposed to be quantity-over-quality with no narrowing yet. I made almost the same mistake picking Instagram's most-invested stage — most of my "Ideate" evidence was actually describing understanding user motivation (Empathize/Define) or execution polish (Prototype/Test).</t>
        </is>
      </c>
      <c r="F15" s="33" t="inlineStr">
        <is>
          <t>When you're looking at a shipped product from the outside, is there a reliable way to tell which of two adjacent stages (like Define vs. Ideate) a team actually invested most in, given how easily their boundaries blur once all you can see is the finished result?</t>
        </is>
      </c>
      <c r="G15" s="33" t="inlineStr">
        <is>
          <t>For the Step 5 "why would I skip Define" question, I first wrote a reason to worry about skipping Define (tests later revealing new insights) instead of my own actual instinct for doing it. Next time I'd check whether I'm describing a cause of my own behavior or a consequence of the mistake before writing the answer down.</t>
        </is>
      </c>
      <c r="H15" s="33" t="inlineStr">
        <is>
          <t>This week's real shift was learning to catch myself substituting taste for principle, and to actually name why once I do — a distinction that started as a vague discomfort and turned into a mechanism I could point to by the end of the week, like checking whether a heuristic's real definition matches what I'm citing it for. Alongside that, choosing fidelity by naming the riskiest unproven assumption stopped being a framework I could recite and became something I actually leaned on — it's what let me block a task honestly instead of faking a shortcut around it. The clearest new idea was learning to ask whether I'd organised something by my own internal logic or by how the person actually using it thinks — a question I only learned to ask once, near the end of the week, and immediately wished I'd been asking all along. The pattern I keep noticing in myself is that I catch a loose thread, name it honestly, and then move on without closing it, rather than resolving it on the spot. Next week I want to run that internal-logic-vs-user-logic check on my own drafts before anyone else has to point it out, and rely less on two or three rounds of critique to catch what one honest self-check could have caught the first time.</t>
        </is>
      </c>
    </row>
    <row r="16" ht="105" customHeight="1" s="71">
      <c r="A16" s="41" t="n">
        <v>46279</v>
      </c>
      <c r="B16" s="42" t="n">
        <v>2</v>
      </c>
      <c r="C16" s="42" t="n">
        <v>2.1</v>
      </c>
      <c r="D16" s="35" t="inlineStr">
        <is>
          <t>Journal (Task 2.1, Step 5) — Which stage do you think you'll personally be tempted to skip, and why? Define. Not simply from time pressure, but from the illusion of having already defined the problem clearly when I haven't actually brainstormed the problem statement enough — I might not even notice I've skipped it.</t>
        </is>
      </c>
      <c r="E16" s="35" t="n"/>
      <c r="F16" s="35" t="n"/>
      <c r="G16" s="35" t="n"/>
      <c r="H16" s="35" t="n"/>
    </row>
    <row r="17" ht="390" customHeight="1" s="71">
      <c r="A17" s="37" t="n">
        <v>46280</v>
      </c>
      <c r="B17" s="38" t="n">
        <v>2</v>
      </c>
      <c r="C17" s="38" t="n">
        <v>2.4</v>
      </c>
      <c r="D17" s="33" t="inlineStr">
        <is>
          <t>Journal (Task 2.4, Step 5) — Which came from you, which from Claude, and which came from combining the two? From me: all eight Crazy Eights sketches, but five of them (nutrition, outing schedule, sleep schedule, bathing, activity tracker) clustered into "Routine &amp; Care Consistency," which I recognized as off-target for this HMW and didn't carry forward — only my video-facetime sketch survived into a final direction. From Claude: all three of my final chosen directions are populated almost entirely by Claude's 25 divergent ideas — "Caregiver Vetting &amp; Matching" and "Gradual Trust-Building Protocols" are entirely Claude-originated, and "Recreate the Owner's Presence" is five-sixths Claude ideas plus my one sketch. From combining the two: the real value was in selection, not generation — I initially picked "Monitoring &amp; Safety Net" as my third direction, but Claude pointed out that theme's own stated logic ("reduces the owner's risk, doesn't build trust directly") didn't actually answer the HMW question, so I swapped it for "Gradual Trust-Building Protocols" instead — a better fit neither of us would have landed on alone.</t>
        </is>
      </c>
      <c r="E17" s="33" t="n"/>
      <c r="F17" s="33" t="n"/>
      <c r="G17" s="33" t="n"/>
      <c r="H17" s="33" t="n"/>
    </row>
    <row r="18" ht="300" customHeight="1" s="71">
      <c r="A18" s="41" t="n">
        <v>46281</v>
      </c>
      <c r="B18" s="42" t="n">
        <v>2</v>
      </c>
      <c r="C18" s="42" t="n">
        <v>2.6</v>
      </c>
      <c r="D18" s="35" t="inlineStr">
        <is>
          <t>Completed Task 2.6 — read the NN/g usability-testing resources, wrote a five-task usability test script for PawPal's general booking flow (heading out of town, messaging a sitter, budget-constrained search, switching to sitter-side availability, booking + payment), revised it through several rounds after catching invented features (a "package" system and a reviews/track-record signal that weren't confirmed in Brief A), vague completion criteria, and a UPI-vs-credit-card mismatch, then had Claude review the final script. Built a five-screen HTML wireframe (browse/search, sitter profile, messaging, booking/payment, sitter-side application) and got it critiqued, which surfaced a disconnected navigation bar, missing trust/ratings signals, and an over-specified edge-case screen. Wrote up three things that worked, three that broke, and one surprise from that build process.</t>
        </is>
      </c>
      <c r="E18" s="35" t="inlineStr">
        <is>
          <t>I treated 'build the wireframe and get it critiqued' as satisfying 'run the test on one colleague,' but those are two different exercises — one is a design critique of the artefact, the other is watching a real person attempt the five tasks and observing where they stumble. I didn't catch that distinction until it was pointed out to me, and by then I'd already written a reflection answering a different question than Step 5 actually asked.</t>
        </is>
      </c>
      <c r="F18" s="35" t="inlineStr">
        <is>
          <t>When the wireframe was reviewed only against my own literal element list, the review never surfaced the trust/ratings signal I already knew mattered from the very first PawPal brief — how do I get a review to catch a known gap I forgot to ask about, rather than just checking my work against my own blind spots?</t>
        </is>
      </c>
      <c r="G18" s="35" t="inlineStr">
        <is>
          <t>I'd have checked the finished wireframe screen-by-screen against my own five test tasks before treating it as done — that would have caught that Screen 5 has no actual day/time availability element at all, which meant Task 4 couldn't even be attempted on the prototype as built.</t>
        </is>
      </c>
      <c r="H18" s="35" t="n"/>
    </row>
    <row r="19" ht="409.5" customHeight="1" s="71">
      <c r="A19" s="37" t="n">
        <v>46281</v>
      </c>
      <c r="B19" s="38" t="n">
        <v>2</v>
      </c>
      <c r="C19" s="38" t="n">
        <v>2.7</v>
      </c>
      <c r="D19" s="33" t="inlineStr">
        <is>
          <t>What I learned — Module 2, running the whole loop on PawPal.
Where the process helped: The five-stage structure caught mistakes I wouldn't have caught working freeform. In Empathize, my first pass at clustering my own interview notes dropped the two richest insights entirely (that the family never found a boarding option they trusted, and that the dog only walked with the hired sitter when I was nearby) -- the discipline of one observation per line, then group, is what surfaced that gap, not instinct. In Define, my first two POV drafts both named a solution ("dog walker," "an entity," "automated technology") instead of staying at the level of the actual need, and the second one claimed a "days/months" timeframe the research never supported -- the POV format's rigidity is what made those errors visible enough to fix before they became load-bearing. The pressure-test step caught two more real problems in my five HMW questions -- one baked in a strategy ("gradually reduce"), one was too generic to be anchored to my actual research -- and both would have quietly warped whatever I designed downstream if I hadn't run that specific check.
Ideate is where the process helped the most, and in the way I expected least. Left alone, five of my eight Crazy Eights sketches drifted into a different, more comfortable problem ("what should a pet-care app include") rather than the actual HMW I was supposed to answer. Claude's 25 divergent ideas gave me directions I genuinely wouldn't have generated myself, and the real value showed up at selection, not generation: I picked "Monitoring &amp; Safety Net" as a final direction because it sounded solid, and only caught that its own stated logic didn't answer the actual question when it was checked against the HMW itself, not against my gut feeling.
Prototype and Test are where the loop proved itself hardest, because they're the two stages I'm least naturally rigorous about. The fidelity framework -- name the riskiest unproven assumption, then pick the cheapest thing that actually tests it -- stopped me from jumping straight to a wireframe for equipment layout and straight to hi-fi for a matching concept that wasn't validated yet. And the usability test genuinely delivered: a real colleague got stuck on Task 4 because the sitter-availability screen has no day/time element at all -- a concrete failure I hadn't caught in two separate reviews of my own wireframe.
Where it felt like overhead: Some of the sequence felt like re-proving something I already half-knew. The core "trust isn't transferred by vetting and payment alone" insight was visible from the very first interview, and I re-derived versions of it through clustering, the POV statement, and the HMW set -- useful for precision, but by the third pass it felt more like reformatting the same insight than discovering anything new.
The literal-instruction wireframe build is where the overhead was most costly, and it was self-inflicted: because I built to a strict "only what's on the list" constraint, ratings and reviews -- the brief's number one stated concern -- never made it onto any screen, even though I'd known about that concern since Task 2.2. That wasn't the process failing; it was me treating literal compliance as a substitute for judgment.
And deciding fidelity for all three ideation directions, one at a time, with a full "riskiest assumption" writeup for each, was arguably more deliberation than two of those decisions (both landed on paper sketch) actually needed -- at that fidelity level the whole point is that the decision should be cheap and fast, and the analysis around it started to cost more than the sketch itself would have.</t>
        </is>
      </c>
      <c r="E19" s="33" t="n"/>
      <c r="F19" s="33" t="n"/>
      <c r="G19" s="33" t="n"/>
      <c r="H19" s="33" t="n"/>
    </row>
    <row r="20" ht="270" customHeight="1" s="71">
      <c r="A20" s="41" t="n">
        <v>46282</v>
      </c>
      <c r="B20" s="42" t="n">
        <v>3</v>
      </c>
      <c r="C20" s="42" t="n">
        <v>3.2</v>
      </c>
      <c r="D20" s="35" t="inlineStr">
        <is>
          <t>Completed Task 3.2 — picked ten real screens (five liked, five disliked) across Splitwise, Rapido, the default Calculator, Google Classroom, Amazon Alexa, YouTube Music, Settings, an Alarm app, Zomato, and Savana. Wrote a structured six-field critique for each (user's goal, hierarchy, type, colour, spacing, heuristics violated/respected), then went back through all ten specifically checking whether each named heuristic was actually being used correctly. Found two clear cases where I'd dressed up a personal preference as a heuristic violation — citing "User control and freedom" to justify wanting a dark-mode toggle on the Calculator, and redefining "functional" broadly enough that the Savana palette's brand-feeling effect could count as a usability principle rather than an aesthetic one.</t>
        </is>
      </c>
      <c r="E20" s="35" t="inlineStr">
        <is>
          <t>I initially accepted both of those two citations as legitimate when I first wrote them — it was only when I went back and checked the heuristic's actual textbook definition against what I'd written that the gap between "this sounds like an official reason" and "this is actually what the heuristic means" became visible. In the moment of writing the critique, both felt like principled observations, not disguised taste.</t>
        </is>
      </c>
      <c r="F20" s="35" t="inlineStr">
        <is>
          <t>Is there a check I can run per critique line, in the moment of writing it, that would catch this stretch before I write it down — something like asking "would I still call this a violation if I described the problem without naming any heuristic at all" — rather than only catching it on a second pass afterward?</t>
        </is>
      </c>
      <c r="G20" s="35" t="inlineStr">
        <is>
          <t>I'd check each heuristic's original definition before writing the justifying sentence, instead of writing the observation I wanted to make first and then reaching for whichever of the ten heuristics sounded closest to it.</t>
        </is>
      </c>
      <c r="H20" s="35" t="n"/>
    </row>
    <row r="21" ht="330" customHeight="1" s="71">
      <c r="A21" s="37" t="n">
        <v>46282</v>
      </c>
      <c r="B21" s="38" t="n">
        <v>3</v>
      </c>
      <c r="C21" s="38" t="n">
        <v>3.3</v>
      </c>
      <c r="D21" s="33" t="inlineStr">
        <is>
          <t>Completed Task 3.3 — spent time in Material 3's foundations, styles, and components, then skimmed the Apple Human Interface Guidelines foundations (Accessibility, Layout, Color, Typography, Materials, Motion, SF Symbols) to see where a second system makes different choices for the same problems. Compared how each documents the Button component: Material specs a full variant-by-state grid, while Apple frames button design as a set of decisions and only rigorously enumerates states where feedback is genuinely non-obvious (visionOS). Wrote three sentences on what a design system buys a team and what departing from one costs, revising twice until the answer used that same spec-everything-vs-spec-only-exceptions mechanism to explain both halves symmetrically. Asked Claude the literal Step 5 question on what a designer is protecting by calling something off-pattern, and when it's reasonable to push back.</t>
        </is>
      </c>
      <c r="E21" s="33" t="inlineStr">
        <is>
          <t>I first tried to force Apple's Buttons page into the same variant-times-state grid Material uses, before recognizing that doing so would be inventing structure that isn't actually in Apple's documentation — the two systems aren't organized on the same premise at all, one is a catalog to select from and the other is a set of context-dependent decisions.</t>
        </is>
      </c>
      <c r="F21" s="33" t="inlineStr">
        <is>
          <t>In practice, when a designer actually tells me a request is off-pattern, how do I tell quickly which of the things it could be protecting — the token system, cross-screen consistency, or an already-settled decision — since those call for pretty different responses from me and I don't yet have real experience telling them apart in the moment.</t>
        </is>
      </c>
      <c r="G21" s="33" t="inlineStr">
        <is>
          <t>I'd write the underlying "why do these systems actually differ" reasoning before writing the surface-level "what does a system buy you" answer, instead of writing the generic version first and only sharpening it into something evidence-based after being pushed to fold in what I'd already found in Step 3.</t>
        </is>
      </c>
      <c r="H21" s="33" t="n"/>
    </row>
    <row r="22" ht="270" customHeight="1" s="71">
      <c r="A22" s="41" t="n">
        <v>46283</v>
      </c>
      <c r="B22" s="42" t="n">
        <v>4</v>
      </c>
      <c r="C22" s="42" t="n">
        <v>4.1</v>
      </c>
      <c r="D22" s="35" t="inlineStr">
        <is>
          <t>Completed Task 4.1 — read the wireframing fundamentals resources, then wrote seven working definitions (structure, hierarchy, content priority, key interactions, plus what a wireframe must exclude: final colour, real imagery, polished type) after a first pass that just restated the given must-include/must-exclude labels rather than defining them. Took three real screens from my reference library (Zomato home, an Alarm app, Splitwise's Activity page) and wireframed each backwards — reducing the finished screen to its structural skeleton — then asked Claude to critique whether any of the three reductions still carried a visual decision dressed up as a structural one. Added all three reduced wireframes to my board next to the screens they came from.</t>
        </is>
      </c>
      <c r="E22" s="35" t="inlineStr">
        <is>
          <t>My first attempt at Step 2 just repeated the vocabulary the task already gave me ("structure means the sections on a screen") instead of actually defining what each term means in practice — I didn't see the difference until it was pointed out that I'd been given the labels, not asked to restate them.</t>
        </is>
      </c>
      <c r="F22" s="35" t="inlineStr">
        <is>
          <t>When Claude's critique flags one of my three reduced wireframes as still carrying a visual decision, what's the fastest way to tell whether that's a genuine structural-vs-visual conflation on my part, or just a case where the structural choice and the visual choice happen to look the same on that particular screen?</t>
        </is>
      </c>
      <c r="G22" s="35" t="inlineStr">
        <is>
          <t>I'd have picked one screen with heavy colour-dependent hierarchy (like the Alarm app's on/off toggle) and one with none, before starting, instead of picking three screens that happened to be structurally similar — a more varied set would have stress-tested the should-contain/must-not-contain distinction harder.</t>
        </is>
      </c>
      <c r="H22" s="35" t="n"/>
    </row>
    <row r="23" ht="165" customHeight="1" s="71">
      <c r="A23" s="37" t="n">
        <v>46283</v>
      </c>
      <c r="B23" s="38" t="n">
        <v>4</v>
      </c>
      <c r="C23" s="38" t="n">
        <v>4.2</v>
      </c>
      <c r="D23" s="33" t="inlineStr">
        <is>
          <t>Started Task 4.2 (Practise: Sketching by hand). Read the paper-prototyping article and located printable browser-frame templates for Step 1. Step 2 asks for eight timed sketches of a claims list/filter/detail screen on paper — I don't have a physical drawing pad or printer set up right now, so I marked Step 2 onward Blocked rather than skip past it or fake it digitally, since the whole point of paper is the speed and disposability a mouse-drawn version wouldn't give me.</t>
        </is>
      </c>
      <c r="E23" s="33" t="inlineStr">
        <is>
          <t>Nothing about the task content confused me — the block is purely material (no drawing pad on hand), not conceptual.</t>
        </is>
      </c>
      <c r="F23" s="33" t="inlineStr">
        <is>
          <t>Once I do get a drawing pad, is there a meaningful difference between sketching on paper and sketching on a tablet with a stylus for this specific exercise, or does the paper-specific speed/disposability argument hold just as well on a tablet?</t>
        </is>
      </c>
      <c r="G23" s="33" t="inlineStr">
        <is>
          <t>I'd keep a basic sketchpad in reach for exactly this kind of task from the start of the module, since I could tell from Step 1's reading that hand-sketching was coming and didn't prepare for it.</t>
        </is>
      </c>
      <c r="H23" s="33" t="n"/>
    </row>
    <row r="24" ht="409.5" customHeight="1" s="71">
      <c r="A24" s="41" t="n">
        <v>46283</v>
      </c>
      <c r="B24" s="42" t="n">
        <v>4</v>
      </c>
      <c r="C24" s="42" t="n">
        <v>4.3</v>
      </c>
      <c r="D24" s="35" t="inlineStr">
        <is>
          <t>Completed Task 4.3 — read the IA and user-flow resources, then built a 42-item (later 41, after removing one item that didn't belong) content/function inventory for Harvest Hub covering orders, inventory, deliveries, and the owner's business-summary view. Grouped the inventory into a sitemap organised by role (Ops, Warehouse, Owner) rather than by feature area, revised it through three rounds after critique caught a missing order-creation path, an undefined driver-facing access question, and a redundant read-only inventory node I ended up removing entirely rather than relocating. Drew the order-to-delivery user flow as the single most important task, covering four decision points (stock availability, driver availability, order edited after dispatch, delivered on time) and revised it once more to replace two dead-end escalation boxes with concrete outcomes (cancel/hold-with-timer, reassign/hold-with-timer) and add a re-verify step for the edited-after-dispatch loop. Asked Claude the literal Step 5 question and got back three real gaps (order creation, the owner's data source, and inventory-update triggers not shown) and two internal-logic issues (driver workload buried a screen away from the reassign decision; late-marking happening automatically instead of surfacing a reason first).</t>
        </is>
      </c>
      <c r="E24" s="35" t="inlineStr">
        <is>
          <t>On the second sitemap round I got stuck on where a read-only inventory-browse screen should live under Ops, until I just removed it entirely on the third round rather than relocating it — Claude pointed out afterwards that this was actually the better fix, since "stock check" was already covered inside Order Detail. I hadn't consciously reasoned toward that; I think I cut it because the sitemap felt cluttered, not because I'd identified the redundancy.</t>
        </is>
      </c>
      <c r="F24" s="35" t="inlineStr">
        <is>
          <t>For the two escalation paths I resolved with "Hold (timer)", I still don't have an answer for what happens when the timer runs out — does that count as a genuinely separate error path I still need to design, or is "ops checks it manually" an acceptable stopping point for a flow at this fidelity?</t>
        </is>
      </c>
      <c r="G24" s="35" t="inlineStr">
        <is>
          <t>I'd have asked myself the Step 5 question ("what's internal logic vs. user logic") before finishing the flow, not after — the driver-workload placement issue was baked into the sitemap two steps back in Task 4.3 Step 3, and I could have caught it there instead of carrying it into the flow.</t>
        </is>
      </c>
      <c r="H24" s="35" t="n"/>
    </row>
    <row r="25" ht="15" customHeight="1" s="71">
      <c r="A25" s="37" t="n">
        <v>46284</v>
      </c>
      <c r="B25" s="38" t="n">
        <v>4</v>
      </c>
      <c r="C25" s="38" t="n">
        <v>4.4</v>
      </c>
      <c r="D25" s="33" t="inlineStr">
        <is>
          <t>Started Task 4.4 (Dashboards and internal tools) — watched the guide and read the NN/g dashboard-design article for Step 1.</t>
        </is>
      </c>
      <c r="E25" s="33" t="inlineStr">
        <is>
          <t>Nothing confusing yet — this was a straightforward watch-and-read step.</t>
        </is>
      </c>
      <c r="F25" s="33" t="inlineStr">
        <is>
          <t>How much of what I'm about to learn about dashboard anatomy will actually transfer cleanly to Harvest Hub, versus needing rethinking once I see the real ops/warehouse/owner screens side by side?</t>
        </is>
      </c>
      <c r="G25" s="33" t="inlineStr">
        <is>
          <t>Nothing to do differently on a single reading step — too early to tell.</t>
        </is>
      </c>
      <c r="H25" s="33" t="n"/>
    </row>
    <row r="26" ht="15" customHeight="1" s="71">
      <c r="A26" s="41" t="n">
        <v>46285</v>
      </c>
      <c r="B26" s="42" t="n">
        <v>4</v>
      </c>
      <c r="C26" s="42" t="n">
        <v>4.2</v>
      </c>
      <c r="D26" s="35" t="inlineStr">
        <is>
          <t>Got a way to sketch by hand and finished Task 4.2 (Sketching by hand), which had been genuinely Blocked since the 18th. Ran the eight-minute/eight-sketch timed exercise twice (a claims list with filters and a detail panel, then a settings page), picked my best from each set, redrew them larger, and annotated the reasoning behind specific choices — marking the selected claims row with a border plus shading instead of colour alone so it survives greyscale scanning, and separating Log out from routine settings so it can't be tapped by accident. Photographed everything into `02-Module-Work`.</t>
        </is>
      </c>
      <c r="E26" s="35" t="inlineStr">
        <is>
          <t>Nothing about the sketching itself was confusing — the only open question my own annotations left behind was what the claims screen's detail panel shows before any row is selected, and whether the settings screen's Log out grouping is a real third section or just sitting alone.</t>
        </is>
      </c>
      <c r="F26" s="35" t="inlineStr">
        <is>
          <t>Those two questions from my own annotations — the claims detail panel's empty state, and whether "Support" is a real group — are still open. Do they need answering now, or are they the kind of thing that gets resolved naturally once I actually build the screen?</t>
        </is>
      </c>
      <c r="G26" s="35" t="inlineStr">
        <is>
          <t>I'd have answered those two questions in the annotation itself instead of leaving them as unresolved hedges ("Support-ish") — same pattern I noticed in this week's review: naming a loose thread honestly, then moving on without closing it.</t>
        </is>
      </c>
      <c r="H26" s="35" t="n"/>
    </row>
    <row r="27" ht="15" customHeight="1" s="71">
      <c r="A27" s="37" t="n">
        <v>46286</v>
      </c>
      <c r="B27" s="38" t="n">
        <v>4</v>
      </c>
      <c r="C27" s="38" t="n">
        <v>4.4</v>
      </c>
      <c r="D27" s="33" t="inlineStr">
        <is>
          <t>Finished Task 4.4. Wrote the dashboard anatomy definitions (navigation, filters, KPIs, primary data view, detail panel, actions), revising twice after feedback — tightening Detail panel from "a feature" to "a selected record in the primary data view," and swapping generic consumer-app KPI examples (retention, MAU, AOV) for ones that actually belong on Harvest Hub (late order rate, low-stock items, unassigned orders). Listed the six problems dense interfaces face, then built a doc (`Dense-Interface-Analysis.docx`, saved to `05-Reference-Library`) cross-checking all six against five real reference screens, noting honestly where a problem didn't apply rather than inventing a solution for it. Asked Claude the literal Step 5 question on what consumer-app teams get wrong specifying enterprise dashboards, then checked its five points against my own six-problem list — found one real gap (treating "clean/simple" as the goal, when dense interfaces actually need "fast to parse") that my list didn't cover in either direction.</t>
        </is>
      </c>
      <c r="E27" s="33" t="inlineStr">
        <is>
          <t>My reference library turned out to be entirely mobile/touch screens, so "keyboard use" scored "No" on all five — not because the problem doesn't matter, but because nothing in my existing references could show me a real solution for it, even though it's arguably the most relevant of the six for Harvest Hub specifically, since ops runs it on laptops.</t>
        </is>
      </c>
      <c r="F27" s="33" t="inlineStr">
        <is>
          <t>I flagged that the new "clean vs. fast-to-parse" point is actually a root cause sitting above two of my six problems (scanning, data density) rather than a coequal seventh item — is that distinction worth restructuring a checklist around in general, or is a flat list always good enough in practice once you know the hierarchy is there?</t>
        </is>
      </c>
      <c r="G27" s="33" t="inlineStr">
        <is>
          <t>I'd add at least one desktop, keyboard-driven reference screen to my library now rather than leaving keyboard use as a diagnosed-but-unsolved gap — it's the one problem on my list with zero real example behind it, and it's the one most likely to matter for the actual product I'm building requirements for.</t>
        </is>
      </c>
      <c r="H27" s="33" t="n"/>
    </row>
    <row r="28" ht="15" customHeight="1" s="71">
      <c r="A28" s="37" t="n">
        <v>46287</v>
      </c>
      <c r="B28" s="38" t="n">
        <v>4</v>
      </c>
      <c r="C28" s="38" t="n">
        <v>4.5</v>
      </c>
      <c r="D28" s="33" t="inlineStr">
        <is>
          <t>Worked through the HTML tutorial through forms and the CSS box-model tutorial (Flexbox Froggy still in progress), learned what semantic HTML means and why a &lt;button&gt; isn't a styled &lt;div&gt;, then did the real exercise: opened the Task 4.6 Settings prototype's actual source code and read it end to end — mapped its structure, found it uses only one real design-system component (the log-out icon) while everything else is hardcoded hex, and found a genuine bug just from reading renderVals(): both buttons in the log-out confirmation panel call the same cancelLogout handler, so the confirm action never actually fires. Then asked Claude which CSS/layout changes are cheap vs. expensive against that real code, and wrote down the five answers that surprised me — duplicated row-gradient blocks being "cheap but tedious," the confirm-panel bug looking like a one-line fix but having no real sign-out logic behind it, converting the panel to a real modal, the hand-built-toggle-vs-system-component tradeoff, and collapsing five duplicated style blocks into one shared token.</t>
        </is>
      </c>
      <c r="E28" s="33" t="inlineStr">
        <is>
          <t>Honestly, Step 2 (Flexbox Froggy) is still marked In progress, not Done — I moved on to Step 3 before finishing it, and by the time I was deep in reading real code for Step 4, it stayed unfinished.</t>
        </is>
      </c>
      <c r="F28" s="33" t="inlineStr">
        <is>
          <t>Now that I've actually found a real bug by reading code instead of just clicking around a prototype, is code-reading meant to become a standing habit before treating any Claude Design prototype as finished, or is it specific to states/interactions like this Log-out flow?</t>
        </is>
      </c>
      <c r="G28" s="33" t="inlineStr">
        <is>
          <t>I'd have gone back and finished Flexbox Froggy before starting Step 3, instead of leaving it half-done and moving forward — same avoidance pattern I've caught myself in before (naming a loose thread, then moving on without closing it).</t>
        </is>
      </c>
      <c r="H28" s="35" t="n"/>
    </row>
    <row r="29" ht="15" customHeight="1" s="71">
      <c r="A29" s="41" t="n">
        <v>46287</v>
      </c>
      <c r="B29" s="42" t="n">
        <v>4</v>
      </c>
      <c r="C29" s="42" t="n">
        <v>4.6</v>
      </c>
      <c r="D29" s="35" t="inlineStr">
        <is>
          <t>Built the Settings screen prototype in Claude Design from a detailed prompt — but first checked the Task 4.2 wireframe against my own Task 4.2 journal annotation and found the wireframe never actually isolated Log out the way I'd said it should be, so I wrote the prompt to fix that instead of reproducing the gap. Ran it through 10 real rounds of inline-canvas-comment edits (logged in the project's own CHANGELOG.md), then wrote up the round log with an honest read of what actually happened to the Log-out safety requirement across those 10 rounds: it started differentiated three separate ways (spacing, a divider, distinct color/border), and by round 10 two of those three were gone — not because any single round targeted Log out, but because two separately reasonable fixes (a text-wrap fix in round 7, a gradient-consistency fix in round 10) combined to erode it without either round meaning to. Rewrote my original one-time prompt instruction into a standing prompting technique — check every future round against the core requirement, flag any tradeoff, and state at the end of the round whether it still holds — and added it to both prompt libraries.</t>
        </is>
      </c>
      <c r="E29" s="35" t="inlineStr">
        <is>
          <t>Catching the erosion only after all 10 rounds were done — at the time, each individual round felt like a reasonable, isolated fix, and I couldn't have flagged round 7 or round 10 as "the problem" while I was inside them.</t>
        </is>
      </c>
      <c r="F29" s="35" t="inlineStr">
        <is>
          <t>Would running my new "protect the core requirement" check after every single round (rather than doing 10 rounds and then auditing) have actually caught this in real time, or does checking too early risk stalling genuinely unrelated fixes?</t>
        </is>
      </c>
      <c r="G29" s="35" t="inlineStr">
        <is>
          <t>I'd have written the "protect the core requirement" version of the prompt before round 1, not after round 10 — the erosion only happened because nothing carried the requirement forward past the first prompt.</t>
        </is>
      </c>
      <c r="H29" s="33" t="n"/>
    </row>
    <row r="30" ht="15" customHeight="1" s="71">
      <c r="A30" s="37" t="n">
        <v>46287</v>
      </c>
      <c r="B30" s="38" t="n">
        <v>4</v>
      </c>
      <c r="C30" s="38" t="n">
        <v>4.7</v>
      </c>
      <c r="D30" s="33" t="inlineStr">
        <is>
          <t>Read both NN/g articles on states and edge cases, then listed all eleven states a data-heavy screen can be in (first-use empty, user-cleared empty, loading, partial load, error, no results after filtering, permission denied, offline, too much data, one item, one thousand items). Took the Task 4.6 Settings prototype into Claude Design and built out eight of those eleven as real screens (more than the six required) — Loading, Partial Load, Error, Offline, Permission Denied, One Item, One Thousand Items, No Results After Filtering. Wrote real copy for each rather than leaving placeholder text, then reviewed all eight against the rule that error-type messages must say both what happened and what to do next — found four states that fully pair the two (Partial Load's Retry, Error's Try Again, Permission Denied's Contact Your Admin, No Results' Clear Search plus suggestions), and two genuine gaps where the copy names the problem but gives no actionable next step: the Offline banner and the One Item locked-plan message.</t>
        </is>
      </c>
      <c r="E30" s="33" t="inlineStr">
        <is>
          <t>This is the first task where I had to decode another Claude Design "Bundled Page" export that was a multi-artboard board rather than a single interactive component — took a moment to recognize the eight boards were static side-by-side artboards sharing one showNotes toggle, not eight instances of one stateful component.</t>
        </is>
      </c>
      <c r="F30" s="33" t="inlineStr">
        <is>
          <t>For the two gaps I found (Offline, One Item), is the fix always "add a button," or is there a real case for leaving a state passive — like Offline, where the system might just reconnect on its own without needing the user to do anything?</t>
        </is>
      </c>
      <c r="G30" s="33" t="inlineStr">
        <is>
          <t>I'd have checked each state's copy against the "what happened + what to do next" rule as I wrote it, rather than writing all eight boards first and auditing afterward — I'd have caught the two gaps while still in Claude Design, where fixing them costs one round instead of a separate write-up.</t>
        </is>
      </c>
      <c r="H30" s="35" t="n"/>
    </row>
    <row r="31" ht="15" customHeight="1" s="71">
      <c r="A31" s="41" t="n">
        <v>46287</v>
      </c>
      <c r="B31" s="42" t="n">
        <v>4</v>
      </c>
      <c r="C31" s="42" t="n">
        <v>4.8</v>
      </c>
      <c r="D31" s="35" t="inlineStr">
        <is>
          <t>Finished Task 4.8. Identified order-to-delivery as the single most important Harvest Hub flow, had Claude walk me through the whole flow like I knew nothing about Harvest Hub, then wireframed the Order Management screen by hand (a table of orders plus a detail panel with Stock Check and Assign Driver, and a Resolve Stock Shortfall modal). Self-reviewed it against the five Task 3.1 checks — hierarchy, spacing, alignment, contrast, primary action — and passed spacing/alignment/contrast but flagged three real problems: the Resolve Shortfall button outweighed +New Order (the actual page-level primary action), one row (#10230) had an inconsistent extra kebab menu no other row had, and the Assign Driver panel header had leftover design-annotation copy ("WORKLOAD VISIBLE HERE") instead of real UI text. Fixed all three.</t>
        </is>
      </c>
      <c r="E31" s="35" t="inlineStr">
        <is>
          <t>Caught myself twice: once when what I'd built looked like a clean digital mockup rather than the paper wireframe the step actually asked for, and once when I said "looks like step 3 is already done" without having actually reviewed it myself — I'd marked steps 1-4 Done from memory, not from re-checking the work.</t>
        </is>
      </c>
      <c r="F31" s="35" t="n"/>
      <c r="G31" s="35" t="n"/>
      <c r="H31" s="33" t="n"/>
    </row>
    <row r="32" ht="15" customHeight="1" s="71">
      <c r="A32" s="37" t="n">
        <v>46288</v>
      </c>
      <c r="B32" s="38" t="n">
        <v>4</v>
      </c>
      <c r="C32" s="38" t="n">
        <v>4.9</v>
      </c>
      <c r="D32" s="33" t="inlineStr">
        <is>
          <t>Finished Task 4.9. Wrote out the seven design-time accessibility responsibilities (colour contrast, target size, focus order, focus visibility, not using colour alone, label clarity, text alternatives) and audited the Task 4.8 Order Management wireframe against every one — one clean pass (colour-alone, since late orders already carry both a coloured border and literal "LATE" text) and five flagged (contrast on the red LATE tag and stock-check text, target size on the small kebab/bell/account icons, focus order across the two-column panel and modal, no focus-visible treatment specified anywhere, and several icon-only controls with no accessible name written down). Wrote the Claude Design prompt naming the wireframe attachment, then rebuilt the whole screen in Claude Design with all five accessibility fixes plus the three Task 4.8 self-review fixes folded in.</t>
        </is>
      </c>
      <c r="E32" s="33" t="inlineStr">
        <is>
          <t>Wanted to actually trust the rebuild rather than just eyeball it, so I read the generated code directly instead of relying on how it looked — grepped for the focus-visible outline, the dialog/inert/focus-restore pattern, and the per-row aria-labels, and only then was I confident all eight fixes (five accessibility, three self-review) were genuinely there and not just visually implied.</t>
        </is>
      </c>
      <c r="F32" s="33" t="n"/>
      <c r="G32" s="33" t="n"/>
      <c r="H32" s="35" t="n"/>
    </row>
    <row r="33" ht="15" customHeight="1" s="71">
      <c r="A33" s="41" t="n">
        <v>46288</v>
      </c>
      <c r="B33" s="42" t="n">
        <v>4</v>
      </c>
      <c r="C33" s="42" t="inlineStr">
        <is>
          <t>4.10</t>
        </is>
      </c>
      <c r="D33" s="35" t="inlineStr">
        <is>
          <t>Finished Task 4.10. Picked PawPal's Sitter Verification Queue — an internal admin screen the brief itself left undefined ("maybe some kind of verification") and the natural other half of the sitter-application screen from Task 2.6. Wrote a ten-line description and generated it cold; found one real gap — no bulk action anywhere, even though Task 4.10's own Step 1 wording had named "a bulk action" as a requirement, which then never made it into the actual ten lines I wrote. Rewrote the description twice more, keeping all three screens: rewrite 1 named the bulk-selection mechanism explicitly and the gap closed completely (plus an unprompted, considerate touch — it tells you which selected users get skipped from a bulk action and why); rewrite 2 resolved one remaining tension between two of my own points (checkbox-first vs. verification-status-leftmost), and the rebuild changed exactly that one thing and nothing else.</t>
        </is>
      </c>
      <c r="E33" s="35" t="inlineStr">
        <is>
          <t>Misread "do this three times" at first — thought it meant three brand-new rewrites on top of the original, and was ready to write a fourth screen, until I checked with Claude and settled that the original cold build counts as the first of the three.</t>
        </is>
      </c>
      <c r="F33" s="35" t="n"/>
      <c r="G33" s="35" t="n"/>
      <c r="H33" s="33" t="n"/>
    </row>
    <row r="34" ht="15" customHeight="1" s="71">
      <c r="A34" s="37" t="n">
        <v>46288</v>
      </c>
      <c r="B34" s="38" t="n">
        <v>5</v>
      </c>
      <c r="C34" s="38" t="inlineStr">
        <is>
          <t>5.1</t>
        </is>
      </c>
      <c r="D34" s="33" t="inlineStr">
        <is>
          <t>Finished Task 5.1 (The basics of good project management). Watched the video and took notes, drew the iron triangle with one sentence per side on what changing scope, time, or cost forces to give elsewhere, defined milestone/dependency/critical path/stakeholder/risk register in my own words (revised critical path after realizing I had it backwards — it's not the fastest path, it's the longest chain of dependent tasks that sets the minimum project duration), then asked Claude the literal Step 4 question on how each concept actually shows up in day-to-day PM work rather than just what it means. Noted Dependency as the concept I expect to matter most in my first project — tracking what work is actually waiting on what, and chasing the upstream blocker before it quietly turns a status from green to red.</t>
        </is>
      </c>
      <c r="E34" s="33" t="inlineStr">
        <is>
          <t>Caught my own critical path definition being backwards before it went in the tracker — I had it as "the path that finishes fastest," when it's actually the longest chain of dependent tasks, the one with zero slack that sets the whole project's minimum duration.</t>
        </is>
      </c>
      <c r="F34" s="33" t="n"/>
      <c r="G34" s="33" t="n"/>
      <c r="H34" s="35" t="n"/>
    </row>
    <row r="35" ht="15" customHeight="1" s="71">
      <c r="H35" s="33" t="n"/>
    </row>
    <row r="36" ht="15" customHeight="1" s="71">
      <c r="A36" s="41" t="n"/>
      <c r="B36" s="42" t="n"/>
      <c r="C36" s="42" t="n"/>
      <c r="D36" s="35" t="n"/>
      <c r="E36" s="35" t="n"/>
      <c r="F36" s="35" t="n"/>
      <c r="G36" s="35" t="n"/>
      <c r="H36" s="35" t="n"/>
    </row>
    <row r="37" ht="15" customHeight="1" s="71">
      <c r="A37" s="37" t="n"/>
      <c r="B37" s="38" t="n"/>
      <c r="C37" s="38" t="n"/>
      <c r="D37" s="33" t="n"/>
      <c r="E37" s="33" t="n"/>
      <c r="F37" s="33" t="n"/>
      <c r="G37" s="33" t="n"/>
      <c r="H37" s="33" t="n"/>
    </row>
    <row r="38" ht="15" customHeight="1" s="71">
      <c r="A38" s="41" t="n"/>
      <c r="B38" s="42" t="n"/>
      <c r="C38" s="42" t="n"/>
      <c r="D38" s="35" t="n"/>
      <c r="E38" s="35" t="n"/>
      <c r="F38" s="35" t="n"/>
      <c r="G38" s="35" t="n"/>
      <c r="H38" s="35" t="n"/>
    </row>
    <row r="39" ht="15" customHeight="1" s="71">
      <c r="A39" s="37" t="n"/>
      <c r="B39" s="38" t="n"/>
      <c r="C39" s="38" t="n"/>
      <c r="D39" s="33" t="n"/>
      <c r="E39" s="33" t="n"/>
      <c r="F39" s="33" t="n"/>
      <c r="G39" s="33" t="n"/>
      <c r="H39" s="33" t="n"/>
    </row>
    <row r="40" ht="15" customHeight="1" s="71">
      <c r="A40" s="41" t="n"/>
      <c r="B40" s="42" t="n"/>
      <c r="C40" s="42" t="n"/>
      <c r="D40" s="35" t="n"/>
      <c r="E40" s="35" t="n"/>
      <c r="F40" s="35" t="n"/>
      <c r="G40" s="35" t="n"/>
      <c r="H40" s="35" t="n"/>
    </row>
    <row r="41" ht="15" customHeight="1" s="71">
      <c r="A41" s="37" t="n"/>
      <c r="B41" s="38" t="n"/>
      <c r="C41" s="38" t="n"/>
      <c r="D41" s="33" t="n"/>
      <c r="E41" s="33" t="n"/>
      <c r="F41" s="33" t="n"/>
      <c r="G41" s="33" t="n"/>
      <c r="H41" s="33" t="n"/>
    </row>
    <row r="42" ht="15" customHeight="1" s="71">
      <c r="A42" s="41" t="n"/>
      <c r="B42" s="42" t="n"/>
      <c r="C42" s="42" t="n"/>
      <c r="D42" s="35" t="n"/>
      <c r="E42" s="35" t="n"/>
      <c r="F42" s="35" t="n"/>
      <c r="G42" s="35" t="n"/>
      <c r="H42" s="35" t="n"/>
    </row>
    <row r="43" ht="15" customHeight="1" s="71">
      <c r="A43" s="37" t="n"/>
      <c r="B43" s="38" t="n"/>
      <c r="C43" s="38" t="n"/>
      <c r="D43" s="33" t="n"/>
      <c r="E43" s="33" t="n"/>
      <c r="F43" s="33" t="n"/>
      <c r="G43" s="33" t="n"/>
      <c r="H43" s="33" t="n"/>
    </row>
    <row r="44" ht="15" customHeight="1" s="71">
      <c r="A44" s="41" t="n"/>
      <c r="B44" s="42" t="n"/>
      <c r="C44" s="42" t="n"/>
      <c r="D44" s="35" t="n"/>
      <c r="E44" s="35" t="n"/>
      <c r="F44" s="35" t="n"/>
      <c r="G44" s="35" t="n"/>
      <c r="H44" s="35" t="n"/>
    </row>
    <row r="45" ht="15" customHeight="1" s="71">
      <c r="A45" s="37" t="n"/>
      <c r="B45" s="38" t="n"/>
      <c r="C45" s="38" t="n"/>
      <c r="D45" s="33" t="n"/>
      <c r="E45" s="33" t="n"/>
      <c r="F45" s="33" t="n"/>
      <c r="G45" s="33" t="n"/>
      <c r="H45" s="33" t="n"/>
    </row>
    <row r="46" ht="15" customHeight="1" s="71">
      <c r="A46" s="41" t="n"/>
      <c r="B46" s="42" t="n"/>
      <c r="C46" s="42" t="n"/>
      <c r="D46" s="35" t="n"/>
      <c r="E46" s="35" t="n"/>
      <c r="F46" s="35" t="n"/>
      <c r="G46" s="35" t="n"/>
      <c r="H46" s="35" t="n"/>
    </row>
    <row r="47" ht="15" customHeight="1" s="71">
      <c r="A47" s="37" t="n"/>
      <c r="B47" s="38" t="n"/>
      <c r="C47" s="38" t="n"/>
      <c r="D47" s="33" t="n"/>
      <c r="E47" s="33" t="n"/>
      <c r="F47" s="33" t="n"/>
      <c r="G47" s="33" t="n"/>
      <c r="H47" s="33" t="n"/>
    </row>
    <row r="48" ht="15" customHeight="1" s="71">
      <c r="A48" s="41" t="n"/>
      <c r="B48" s="42" t="n"/>
      <c r="C48" s="42" t="n"/>
      <c r="D48" s="35" t="n"/>
      <c r="E48" s="35" t="n"/>
      <c r="F48" s="35" t="n"/>
      <c r="G48" s="35" t="n"/>
      <c r="H48" s="35" t="n"/>
    </row>
    <row r="49" ht="15" customHeight="1" s="71">
      <c r="A49" s="37" t="n"/>
      <c r="B49" s="38" t="n"/>
      <c r="C49" s="38" t="n"/>
      <c r="D49" s="33" t="n"/>
      <c r="E49" s="33" t="n"/>
      <c r="F49" s="33" t="n"/>
      <c r="G49" s="33" t="n"/>
      <c r="H49" s="33" t="n"/>
    </row>
    <row r="50" ht="15" customHeight="1" s="71">
      <c r="A50" s="41" t="n"/>
      <c r="B50" s="42" t="n"/>
      <c r="C50" s="42" t="n"/>
      <c r="D50" s="35" t="n"/>
      <c r="E50" s="35" t="n"/>
      <c r="F50" s="35" t="n"/>
      <c r="G50" s="35" t="n"/>
      <c r="H50" s="35" t="n"/>
    </row>
    <row r="51" ht="15" customHeight="1" s="71">
      <c r="A51" s="37" t="n"/>
      <c r="B51" s="38" t="n"/>
      <c r="C51" s="38" t="n"/>
      <c r="D51" s="33" t="n"/>
      <c r="E51" s="33" t="n"/>
      <c r="F51" s="33" t="n"/>
      <c r="G51" s="33" t="n"/>
      <c r="H51" s="33" t="n"/>
    </row>
    <row r="52" ht="15" customHeight="1" s="71">
      <c r="A52" s="41" t="n"/>
      <c r="B52" s="42" t="n"/>
      <c r="C52" s="42" t="n"/>
      <c r="D52" s="35" t="n"/>
      <c r="E52" s="35" t="n"/>
      <c r="F52" s="35" t="n"/>
      <c r="G52" s="35" t="n"/>
      <c r="H52" s="35" t="n"/>
    </row>
    <row r="53" ht="15" customHeight="1" s="71">
      <c r="A53" s="37" t="n"/>
      <c r="B53" s="38" t="n"/>
      <c r="C53" s="38" t="n"/>
      <c r="D53" s="33" t="n"/>
      <c r="E53" s="33" t="n"/>
      <c r="F53" s="33" t="n"/>
      <c r="G53" s="33" t="n"/>
      <c r="H53" s="33" t="n"/>
    </row>
    <row r="54" ht="15" customHeight="1" s="71">
      <c r="A54" s="41" t="n"/>
      <c r="B54" s="42" t="n"/>
      <c r="C54" s="42" t="n"/>
      <c r="D54" s="35" t="n"/>
      <c r="E54" s="35" t="n"/>
      <c r="F54" s="35" t="n"/>
      <c r="G54" s="35" t="n"/>
      <c r="H54" s="35" t="n"/>
    </row>
    <row r="55" ht="15" customHeight="1" s="71">
      <c r="A55" s="37" t="n"/>
      <c r="B55" s="38" t="n"/>
      <c r="C55" s="38" t="n"/>
      <c r="D55" s="33" t="n"/>
      <c r="E55" s="33" t="n"/>
      <c r="F55" s="33" t="n"/>
      <c r="G55" s="33" t="n"/>
      <c r="H55" s="33" t="n"/>
    </row>
    <row r="56" ht="15" customHeight="1" s="71">
      <c r="A56" s="41" t="n"/>
      <c r="B56" s="42" t="n"/>
      <c r="C56" s="42" t="n"/>
      <c r="D56" s="35" t="n"/>
      <c r="E56" s="35" t="n"/>
      <c r="F56" s="35" t="n"/>
      <c r="G56" s="35" t="n"/>
      <c r="H56" s="35" t="n"/>
    </row>
    <row r="57" ht="15" customHeight="1" s="71">
      <c r="A57" s="37" t="n"/>
      <c r="B57" s="38" t="n"/>
      <c r="C57" s="38" t="n"/>
      <c r="D57" s="33" t="n"/>
      <c r="E57" s="33" t="n"/>
      <c r="F57" s="33" t="n"/>
      <c r="G57" s="33" t="n"/>
      <c r="H57" s="33" t="n"/>
    </row>
    <row r="58" ht="15" customHeight="1" s="71">
      <c r="A58" s="41" t="n"/>
      <c r="B58" s="42" t="n"/>
      <c r="C58" s="42" t="n"/>
      <c r="D58" s="35" t="n"/>
      <c r="E58" s="35" t="n"/>
      <c r="F58" s="35" t="n"/>
      <c r="G58" s="35" t="n"/>
      <c r="H58" s="35" t="n"/>
    </row>
    <row r="59" ht="15" customHeight="1" s="71">
      <c r="A59" s="37" t="n"/>
      <c r="B59" s="38" t="n"/>
      <c r="C59" s="38" t="n"/>
      <c r="D59" s="33" t="n"/>
      <c r="E59" s="33" t="n"/>
      <c r="F59" s="33" t="n"/>
      <c r="G59" s="33" t="n"/>
      <c r="H59" s="33" t="n"/>
    </row>
    <row r="60" ht="15" customHeight="1" s="71">
      <c r="A60" s="41" t="n"/>
      <c r="B60" s="42" t="n"/>
      <c r="C60" s="42" t="n"/>
      <c r="D60" s="35" t="n"/>
      <c r="E60" s="35" t="n"/>
      <c r="F60" s="35" t="n"/>
      <c r="G60" s="35" t="n"/>
      <c r="H60" s="35" t="n"/>
    </row>
    <row r="61" ht="15" customHeight="1" s="71">
      <c r="A61" s="37" t="n"/>
      <c r="B61" s="38" t="n"/>
      <c r="C61" s="38" t="n"/>
      <c r="D61" s="33" t="n"/>
      <c r="E61" s="33" t="n"/>
      <c r="F61" s="33" t="n"/>
      <c r="G61" s="33" t="n"/>
      <c r="H61" s="33" t="n"/>
    </row>
    <row r="62" ht="15" customHeight="1" s="71">
      <c r="A62" s="41" t="n"/>
      <c r="B62" s="42" t="n"/>
      <c r="C62" s="42" t="n"/>
      <c r="D62" s="35" t="n"/>
      <c r="E62" s="35" t="n"/>
      <c r="F62" s="35" t="n"/>
      <c r="G62" s="35" t="n"/>
      <c r="H62" s="35" t="n"/>
    </row>
    <row r="63" ht="15" customHeight="1" s="71">
      <c r="A63" s="37" t="n"/>
      <c r="B63" s="38" t="n"/>
      <c r="C63" s="38" t="n"/>
      <c r="D63" s="33" t="n"/>
      <c r="E63" s="33" t="n"/>
      <c r="F63" s="33" t="n"/>
      <c r="G63" s="33" t="n"/>
      <c r="H63" s="33" t="n"/>
    </row>
    <row r="64" ht="15" customHeight="1" s="71">
      <c r="A64" s="41" t="n"/>
      <c r="B64" s="42" t="n"/>
      <c r="C64" s="42" t="n"/>
      <c r="D64" s="35" t="n"/>
      <c r="E64" s="35" t="n"/>
      <c r="F64" s="35" t="n"/>
      <c r="G64" s="35" t="n"/>
      <c r="H64" s="35" t="n"/>
    </row>
    <row r="65" ht="15" customHeight="1" s="71">
      <c r="A65" s="37" t="n"/>
      <c r="B65" s="38" t="n"/>
      <c r="C65" s="38" t="n"/>
      <c r="D65" s="33" t="n"/>
      <c r="E65" s="33" t="n"/>
      <c r="F65" s="33" t="n"/>
      <c r="G65" s="33" t="n"/>
      <c r="H65" s="33" t="n"/>
    </row>
    <row r="66" ht="15" customHeight="1" s="71">
      <c r="A66" s="41" t="n"/>
      <c r="B66" s="42" t="n"/>
      <c r="C66" s="42" t="n"/>
      <c r="D66" s="35" t="n"/>
      <c r="E66" s="35" t="n"/>
      <c r="F66" s="35" t="n"/>
      <c r="G66" s="35" t="n"/>
      <c r="H66" s="35" t="n"/>
    </row>
    <row r="67" ht="15" customHeight="1" s="71">
      <c r="A67" s="37" t="n"/>
      <c r="B67" s="38" t="n"/>
      <c r="C67" s="38" t="n"/>
      <c r="D67" s="33" t="n"/>
      <c r="E67" s="33" t="n"/>
      <c r="F67" s="33" t="n"/>
      <c r="G67" s="33" t="n"/>
      <c r="H67" s="33" t="n"/>
    </row>
    <row r="68" ht="15" customHeight="1" s="71">
      <c r="A68" s="41" t="n"/>
      <c r="B68" s="42" t="n"/>
      <c r="C68" s="42" t="n"/>
      <c r="D68" s="35" t="n"/>
      <c r="E68" s="35" t="n"/>
      <c r="F68" s="35" t="n"/>
      <c r="G68" s="35" t="n"/>
      <c r="H68" s="35" t="n"/>
    </row>
    <row r="69" ht="15" customHeight="1" s="71">
      <c r="A69" s="37" t="n"/>
      <c r="B69" s="38" t="n"/>
      <c r="C69" s="38" t="n"/>
      <c r="D69" s="33" t="n"/>
      <c r="E69" s="33" t="n"/>
      <c r="F69" s="33" t="n"/>
      <c r="G69" s="33" t="n"/>
      <c r="H69" s="33" t="n"/>
    </row>
    <row r="70" ht="15" customHeight="1" s="71">
      <c r="A70" s="41" t="n"/>
      <c r="B70" s="42" t="n"/>
      <c r="C70" s="42" t="n"/>
      <c r="D70" s="35" t="n"/>
      <c r="E70" s="35" t="n"/>
      <c r="F70" s="35" t="n"/>
      <c r="G70" s="35" t="n"/>
      <c r="H70" s="35" t="n"/>
    </row>
    <row r="71" ht="15" customHeight="1" s="71">
      <c r="A71" s="37" t="n"/>
      <c r="B71" s="38" t="n"/>
      <c r="C71" s="38" t="n"/>
      <c r="D71" s="33" t="n"/>
      <c r="E71" s="33" t="n"/>
      <c r="F71" s="33" t="n"/>
      <c r="G71" s="33" t="n"/>
      <c r="H71" s="33" t="n"/>
    </row>
    <row r="72" ht="15" customHeight="1" s="71">
      <c r="A72" s="41" t="n"/>
      <c r="B72" s="42" t="n"/>
      <c r="C72" s="42" t="n"/>
      <c r="D72" s="35" t="n"/>
      <c r="E72" s="35" t="n"/>
      <c r="F72" s="35" t="n"/>
      <c r="G72" s="35" t="n"/>
      <c r="H72" s="35" t="n"/>
    </row>
    <row r="73" ht="15" customHeight="1" s="71">
      <c r="A73" s="37" t="n"/>
      <c r="B73" s="38" t="n"/>
      <c r="C73" s="38" t="n"/>
      <c r="D73" s="33" t="n"/>
      <c r="E73" s="33" t="n"/>
      <c r="F73" s="33" t="n"/>
      <c r="G73" s="33" t="n"/>
      <c r="H73" s="33" t="n"/>
    </row>
    <row r="74" ht="15" customHeight="1" s="71">
      <c r="A74" s="41" t="n"/>
      <c r="B74" s="42" t="n"/>
      <c r="C74" s="42" t="n"/>
      <c r="D74" s="35" t="n"/>
      <c r="E74" s="35" t="n"/>
      <c r="F74" s="35" t="n"/>
      <c r="G74" s="35" t="n"/>
      <c r="H74" s="35" t="n"/>
    </row>
    <row r="75" ht="15" customHeight="1" s="71">
      <c r="A75" s="37" t="n"/>
      <c r="B75" s="38" t="n"/>
      <c r="C75" s="38" t="n"/>
      <c r="D75" s="33" t="n"/>
      <c r="E75" s="33" t="n"/>
      <c r="F75" s="33" t="n"/>
      <c r="G75" s="33" t="n"/>
      <c r="H75" s="33" t="n"/>
    </row>
    <row r="76" ht="15" customHeight="1" s="71">
      <c r="A76" s="41" t="n"/>
      <c r="B76" s="42" t="n"/>
      <c r="C76" s="42" t="n"/>
      <c r="D76" s="35" t="n"/>
      <c r="E76" s="35" t="n"/>
      <c r="F76" s="35" t="n"/>
      <c r="G76" s="35" t="n"/>
      <c r="H76" s="35" t="n"/>
    </row>
    <row r="77" ht="15" customHeight="1" s="71">
      <c r="A77" s="37" t="n"/>
      <c r="B77" s="38" t="n"/>
      <c r="C77" s="38" t="n"/>
      <c r="D77" s="33" t="n"/>
      <c r="E77" s="33" t="n"/>
      <c r="F77" s="33" t="n"/>
      <c r="G77" s="33" t="n"/>
      <c r="H77" s="33" t="n"/>
    </row>
    <row r="78" ht="15" customHeight="1" s="71">
      <c r="A78" s="41" t="n"/>
      <c r="B78" s="42" t="n"/>
      <c r="C78" s="42" t="n"/>
      <c r="D78" s="35" t="n"/>
      <c r="E78" s="35" t="n"/>
      <c r="F78" s="35" t="n"/>
      <c r="G78" s="35" t="n"/>
      <c r="H78" s="35" t="n"/>
    </row>
    <row r="79" ht="15" customHeight="1" s="71">
      <c r="A79" s="37" t="n"/>
      <c r="B79" s="38" t="n"/>
      <c r="C79" s="38" t="n"/>
      <c r="D79" s="33" t="n"/>
      <c r="E79" s="33" t="n"/>
      <c r="F79" s="33" t="n"/>
      <c r="G79" s="33" t="n"/>
      <c r="H79" s="33" t="n"/>
    </row>
    <row r="80" ht="15" customHeight="1" s="71">
      <c r="A80" s="41" t="n"/>
      <c r="B80" s="42" t="n"/>
      <c r="C80" s="42" t="n"/>
      <c r="D80" s="35" t="n"/>
      <c r="E80" s="35" t="n"/>
      <c r="F80" s="35" t="n"/>
      <c r="G80" s="35" t="n"/>
      <c r="H80" s="35" t="n"/>
    </row>
    <row r="81" ht="15" customHeight="1" s="71">
      <c r="A81" s="37" t="n"/>
      <c r="B81" s="38" t="n"/>
      <c r="C81" s="38" t="n"/>
      <c r="D81" s="33" t="n"/>
      <c r="E81" s="33" t="n"/>
      <c r="F81" s="33" t="n"/>
      <c r="G81" s="33" t="n"/>
      <c r="H81" s="33" t="n"/>
    </row>
    <row r="82" ht="15" customHeight="1" s="71">
      <c r="A82" s="41" t="n"/>
      <c r="B82" s="42" t="n"/>
      <c r="C82" s="42" t="n"/>
      <c r="D82" s="35" t="n"/>
      <c r="E82" s="35" t="n"/>
      <c r="F82" s="35" t="n"/>
      <c r="G82" s="35" t="n"/>
      <c r="H82" s="35" t="n"/>
    </row>
    <row r="90" ht="15" customHeight="1" s="71"/>
  </sheetData>
  <autoFilter ref="A1:H81"/>
  <mergeCells count="1">
    <mergeCell ref="A1:H1"/>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D30"/>
  <sheetViews>
    <sheetView zoomScaleNormal="100" workbookViewId="0">
      <pane ySplit="1" topLeftCell="A2" activePane="bottomLeft" state="frozen"/>
      <selection pane="bottomLeft" activeCell="B3" sqref="B3"/>
    </sheetView>
  </sheetViews>
  <sheetFormatPr baseColWidth="8" defaultColWidth="14.42578125" defaultRowHeight="15"/>
  <cols>
    <col width="26" customWidth="1" style="71" min="1" max="1"/>
    <col width="84" customWidth="1" style="71" min="2" max="2"/>
    <col width="11" customWidth="1" style="71" min="3" max="3"/>
    <col width="42" customWidth="1" style="71" min="4" max="4"/>
    <col width="8.7109375" customWidth="1" style="71" min="5" max="26"/>
  </cols>
  <sheetData>
    <row r="1" ht="33.75" customHeight="1" s="71">
      <c r="A1" s="15" t="inlineStr">
        <is>
          <t>Area</t>
        </is>
      </c>
      <c r="B1" s="15" t="inlineStr">
        <is>
          <t>I can…</t>
        </is>
      </c>
      <c r="C1" s="15" t="inlineStr">
        <is>
          <t>Rating 1-5</t>
        </is>
      </c>
      <c r="D1" s="15" t="inlineStr">
        <is>
          <t>Comments</t>
        </is>
      </c>
    </row>
    <row r="2" ht="27.75" customHeight="1" s="71">
      <c r="A2" s="32" t="inlineStr">
        <is>
          <t>Working with Claude</t>
        </is>
      </c>
      <c r="B2" s="33" t="inlineStr">
        <is>
          <t>I can write a structured prompt that gets usable output first time</t>
        </is>
      </c>
      <c r="C2" s="38" t="n"/>
      <c r="D2" s="33" t="n"/>
    </row>
    <row r="3" ht="27.75" customHeight="1" s="71">
      <c r="A3" s="34" t="inlineStr">
        <is>
          <t>Working with Claude</t>
        </is>
      </c>
      <c r="B3" s="35" t="inlineStr">
        <is>
          <t>I can diagnose why a prompt failed and change one thing at a time</t>
        </is>
      </c>
      <c r="C3" s="42" t="n"/>
      <c r="D3" s="35" t="n"/>
    </row>
    <row r="4" ht="27.75" customHeight="1" s="71">
      <c r="A4" s="32" t="inlineStr">
        <is>
          <t>Working with Claude</t>
        </is>
      </c>
      <c r="B4" s="33" t="inlineStr">
        <is>
          <t>I know which claims to verify and I actually verify them</t>
        </is>
      </c>
      <c r="C4" s="38" t="n"/>
      <c r="D4" s="33" t="n"/>
    </row>
    <row r="5" ht="27.75" customHeight="1" s="71">
      <c r="A5" s="34" t="inlineStr">
        <is>
          <t>Working with Claude</t>
        </is>
      </c>
      <c r="B5" s="35" t="inlineStr">
        <is>
          <t>I can delegate a multi-step task to Cowork and judge the result critically</t>
        </is>
      </c>
      <c r="C5" s="42" t="n"/>
      <c r="D5" s="35" t="n"/>
    </row>
    <row r="6" ht="27.75" customHeight="1" s="71">
      <c r="A6" s="32" t="inlineStr">
        <is>
          <t>Working with Claude</t>
        </is>
      </c>
      <c r="B6" s="33" t="inlineStr">
        <is>
          <t>I can write and refine a Skill that triggers when it should</t>
        </is>
      </c>
      <c r="C6" s="38" t="n"/>
      <c r="D6" s="33" t="n"/>
    </row>
    <row r="7" ht="27.75" customHeight="1" s="71">
      <c r="A7" s="34" t="inlineStr">
        <is>
          <t>Design partnership</t>
        </is>
      </c>
      <c r="B7" s="35" t="inlineStr">
        <is>
          <t>I can look at a screen and say specifically why it is or is not working</t>
        </is>
      </c>
      <c r="C7" s="42" t="n"/>
      <c r="D7" s="35" t="n"/>
    </row>
    <row r="8" ht="27.75" customHeight="1" s="71">
      <c r="A8" s="32" t="inlineStr">
        <is>
          <t>Design partnership</t>
        </is>
      </c>
      <c r="B8" s="33" t="inlineStr">
        <is>
          <t>I can give a designer feedback they can act on, without designing it myself</t>
        </is>
      </c>
      <c r="C8" s="38" t="n"/>
      <c r="D8" s="33" t="n"/>
    </row>
    <row r="9" ht="27.75" customHeight="1" s="71">
      <c r="A9" s="34" t="inlineStr">
        <is>
          <t>Design partnership</t>
        </is>
      </c>
      <c r="B9" s="35" t="inlineStr">
        <is>
          <t>I can tell the difference between my taste and an established principle</t>
        </is>
      </c>
      <c r="C9" s="42" t="n"/>
      <c r="D9" s="35" t="n"/>
    </row>
    <row r="10" ht="27.75" customHeight="1" s="71">
      <c r="A10" s="32" t="inlineStr">
        <is>
          <t>Design partnership</t>
        </is>
      </c>
      <c r="B10" s="33" t="inlineStr">
        <is>
          <t>I know what a design system buys a team and what departing from one costs</t>
        </is>
      </c>
      <c r="C10" s="38" t="n"/>
      <c r="D10" s="33" t="n"/>
    </row>
    <row r="11" ht="27.75" customHeight="1" s="71">
      <c r="A11" s="34" t="inlineStr">
        <is>
          <t>Specification and prototyping</t>
        </is>
      </c>
      <c r="B11" s="35" t="inlineStr">
        <is>
          <t>I can go from a flow to a clickable prototype in Claude Design</t>
        </is>
      </c>
      <c r="C11" s="42" t="n"/>
      <c r="D11" s="35" t="n"/>
    </row>
    <row r="12" ht="27.75" customHeight="1" s="71">
      <c r="A12" s="32" t="inlineStr">
        <is>
          <t>Specification and prototyping</t>
        </is>
      </c>
      <c r="B12" s="33" t="inlineStr">
        <is>
          <t>I can describe a screen precisely enough that the first build comes back close to what I meant</t>
        </is>
      </c>
      <c r="C12" s="38" t="n"/>
      <c r="D12" s="33" t="n"/>
    </row>
    <row r="13" ht="27.75" customHeight="1" s="71">
      <c r="A13" s="34" t="inlineStr">
        <is>
          <t>Specification and prototyping</t>
        </is>
      </c>
      <c r="B13" s="35" t="inlineStr">
        <is>
          <t>I can read HTML and CSS well enough to know which requests are expensive</t>
        </is>
      </c>
      <c r="C13" s="42" t="n"/>
      <c r="D13" s="35" t="n"/>
    </row>
    <row r="14" ht="27.75" customHeight="1" s="71">
      <c r="A14" s="32" t="inlineStr">
        <is>
          <t>Specification and prototyping</t>
        </is>
      </c>
      <c r="B14" s="33" t="inlineStr">
        <is>
          <t>I make sure every state is specified, not just the happy path</t>
        </is>
      </c>
      <c r="C14" s="38" t="n"/>
      <c r="D14" s="33" t="n"/>
    </row>
    <row r="15" ht="27.75" customHeight="1" s="71">
      <c r="A15" s="34" t="inlineStr">
        <is>
          <t>Specification and prototyping</t>
        </is>
      </c>
      <c r="B15" s="35" t="inlineStr">
        <is>
          <t>I can audit work against a PRD and acceptance criteria</t>
        </is>
      </c>
      <c r="C15" s="42" t="n"/>
      <c r="D15" s="35" t="n"/>
    </row>
    <row r="16" ht="27.75" customHeight="1" s="71">
      <c r="A16" s="32" t="inlineStr">
        <is>
          <t>Delivery</t>
        </is>
      </c>
      <c r="B16" s="33" t="inlineStr">
        <is>
          <t>I can write user stories with acceptance criteria that don't need clarifying</t>
        </is>
      </c>
      <c r="C16" s="38" t="n"/>
      <c r="D16" s="33" t="n"/>
    </row>
    <row r="17" ht="27.75" customHeight="1" s="71">
      <c r="A17" s="34" t="inlineStr">
        <is>
          <t>Delivery</t>
        </is>
      </c>
      <c r="B17" s="35" t="inlineStr">
        <is>
          <t>I can run a Jira board and read a sprint at a glance</t>
        </is>
      </c>
      <c r="C17" s="42" t="n"/>
      <c r="D17" s="35" t="n"/>
    </row>
    <row r="18" ht="27.75" customHeight="1" s="71">
      <c r="A18" s="32" t="inlineStr">
        <is>
          <t>Delivery</t>
        </is>
      </c>
      <c r="B18" s="33" t="inlineStr">
        <is>
          <t>I can scope a v1 and defend what I cut</t>
        </is>
      </c>
      <c r="C18" s="38" t="n"/>
      <c r="D18" s="33" t="n"/>
    </row>
    <row r="19" ht="27.75" customHeight="1" s="71">
      <c r="A19" s="34" t="inlineStr">
        <is>
          <t>Delivery</t>
        </is>
      </c>
      <c r="B19" s="35" t="inlineStr">
        <is>
          <t>I can estimate and prioritise with a named method</t>
        </is>
      </c>
      <c r="C19" s="42" t="n"/>
      <c r="D19" s="35" t="n"/>
    </row>
    <row r="20" ht="27.75" customHeight="1" s="71">
      <c r="A20" s="32" t="inlineStr">
        <is>
          <t>Delivery</t>
        </is>
      </c>
      <c r="B20" s="33" t="inlineStr">
        <is>
          <t>I can build a roadmap and defend what I deferred</t>
        </is>
      </c>
      <c r="C20" s="38" t="n"/>
      <c r="D20" s="33" t="n"/>
    </row>
    <row r="21" ht="27.75" customHeight="1" s="71">
      <c r="A21" s="34" t="inlineStr">
        <is>
          <t>Delivery</t>
        </is>
      </c>
      <c r="B21" s="35" t="inlineStr">
        <is>
          <t>I can write a status update someone can act on without asking me a question</t>
        </is>
      </c>
      <c r="C21" s="42" t="n"/>
      <c r="D21" s="35" t="n"/>
    </row>
    <row r="22" ht="27.75" customHeight="1" s="71">
      <c r="A22" s="32" t="inlineStr">
        <is>
          <t>Delivery</t>
        </is>
      </c>
      <c r="B22" s="33" t="inlineStr">
        <is>
          <t>I understand enough about APIs and testing to hold a technical conversation</t>
        </is>
      </c>
      <c r="C22" s="38" t="n"/>
      <c r="D22" s="33" t="n"/>
    </row>
    <row r="23" ht="27.75" customHeight="1" s="71">
      <c r="A23" s="34" t="inlineStr">
        <is>
          <t>Product sense</t>
        </is>
      </c>
      <c r="B23" s="35" t="inlineStr">
        <is>
          <t>I can argue both sides of a product decision</t>
        </is>
      </c>
      <c r="C23" s="42" t="n"/>
      <c r="D23" s="35" t="n"/>
    </row>
    <row r="24" ht="27.75" customHeight="1" s="71">
      <c r="A24" s="32" t="inlineStr">
        <is>
          <t>Product sense</t>
        </is>
      </c>
      <c r="B24" s="33" t="inlineStr">
        <is>
          <t>I can propose metrics and explain how they'd be gamed</t>
        </is>
      </c>
      <c r="C24" s="38" t="n"/>
      <c r="D24" s="33" t="n"/>
    </row>
    <row r="25" ht="27.75" customHeight="1" s="71">
      <c r="A25" s="34" t="inlineStr">
        <is>
          <t>Product sense</t>
        </is>
      </c>
      <c r="B25" s="35" t="inlineStr">
        <is>
          <t>I can specify the events needed to measure a metric before it ships</t>
        </is>
      </c>
      <c r="C25" s="42" t="n"/>
      <c r="D25" s="35" t="n"/>
    </row>
    <row r="26" ht="27.75" customHeight="1" s="71">
      <c r="A26" s="32" t="inlineStr">
        <is>
          <t>Product sense</t>
        </is>
      </c>
      <c r="B26" s="33" t="inlineStr">
        <is>
          <t>I can design an AI feature that's honest about being uncertain</t>
        </is>
      </c>
      <c r="C26" s="38" t="n"/>
      <c r="D26" s="33" t="n"/>
    </row>
    <row r="27" ht="27.75" customHeight="1" s="71">
      <c r="A27" s="34" t="inlineStr">
        <is>
          <t>Product sense</t>
        </is>
      </c>
      <c r="B27" s="35" t="inlineStr">
        <is>
          <t>I can present work and defend the reasoning behind it</t>
        </is>
      </c>
      <c r="C27" s="42" t="n"/>
      <c r="D27" s="35" t="n"/>
    </row>
    <row r="28" ht="27.75" customHeight="1" s="71">
      <c r="A28" s="32" t="inlineStr">
        <is>
          <t>Working here</t>
        </is>
      </c>
      <c r="B28" s="33" t="inlineStr">
        <is>
          <t>I raise blockers within thirty minutes, and share anything that's slipping the same day</t>
        </is>
      </c>
      <c r="C28" s="38" t="n"/>
      <c r="D28" s="33" t="n"/>
    </row>
    <row r="29" ht="27.75" customHeight="1" s="71">
      <c r="A29" s="34" t="inlineStr">
        <is>
          <t>Working here</t>
        </is>
      </c>
      <c r="B29" s="35" t="inlineStr">
        <is>
          <t>I ask questions that are clear and easy for a colleague to answer</t>
        </is>
      </c>
      <c r="C29" s="42" t="n"/>
      <c r="D29" s="35" t="n"/>
    </row>
    <row r="30" ht="27.75" customHeight="1" s="71">
      <c r="A30" s="32" t="inlineStr">
        <is>
          <t>Working here</t>
        </is>
      </c>
      <c r="B30" s="33" t="inlineStr">
        <is>
          <t>I can present to a client with confidence in the reasoning behind my work</t>
        </is>
      </c>
      <c r="C30" s="38" t="n"/>
      <c r="D30" s="33" t="n"/>
    </row>
    <row r="31" ht="15.75" customHeight="1" s="71"/>
    <row r="32" ht="15.75" customHeight="1" s="71"/>
    <row r="33" ht="15.75" customHeight="1" s="71"/>
    <row r="34" ht="15.75" customHeight="1" s="71"/>
    <row r="35" ht="15.75" customHeight="1" s="71"/>
    <row r="36" ht="15.75" customHeight="1" s="71"/>
    <row r="37" ht="15.75" customHeight="1" s="71"/>
    <row r="38" ht="15.75" customHeight="1" s="71"/>
    <row r="39" ht="15.75" customHeight="1" s="71"/>
    <row r="40" ht="15.75" customHeight="1" s="71"/>
    <row r="41" ht="15.75" customHeight="1" s="71"/>
    <row r="42" ht="15.75" customHeight="1" s="71"/>
    <row r="43" ht="15.75" customHeight="1" s="71"/>
    <row r="44" ht="15.75" customHeight="1" s="71"/>
    <row r="45" ht="15.75" customHeight="1" s="71"/>
    <row r="46" ht="15.75" customHeight="1" s="71"/>
    <row r="47" ht="15.75" customHeight="1" s="71"/>
    <row r="48" ht="15.75" customHeight="1" s="71"/>
    <row r="49" ht="15.75" customHeight="1" s="71"/>
    <row r="50" ht="15.75" customHeight="1" s="71"/>
    <row r="51" ht="15.75" customHeight="1" s="71"/>
    <row r="52" ht="15.75" customHeight="1" s="71"/>
    <row r="53" ht="15.75" customHeight="1" s="71"/>
    <row r="54" ht="15.75" customHeight="1" s="71"/>
    <row r="55" ht="15.75" customHeight="1" s="71"/>
    <row r="56" ht="15.75" customHeight="1" s="71"/>
    <row r="57" ht="15.75" customHeight="1" s="71"/>
    <row r="58" ht="15.75" customHeight="1" s="71"/>
    <row r="59" ht="15.75" customHeight="1" s="71"/>
    <row r="60" ht="15.75" customHeight="1" s="71"/>
    <row r="61" ht="15.75" customHeight="1" s="71"/>
    <row r="62" ht="15.75" customHeight="1" s="71"/>
    <row r="63" ht="15.75" customHeight="1" s="71"/>
    <row r="64" ht="15.75" customHeight="1" s="71"/>
    <row r="65" ht="15.75" customHeight="1" s="71"/>
    <row r="66" ht="15.75" customHeight="1" s="71"/>
    <row r="67" ht="15.75" customHeight="1" s="71"/>
    <row r="68" ht="15.75" customHeight="1" s="71"/>
    <row r="69" ht="15.75" customHeight="1" s="71"/>
    <row r="70" ht="15.75" customHeight="1" s="71"/>
    <row r="71" ht="15.75" customHeight="1" s="71"/>
    <row r="72" ht="15.75" customHeight="1" s="71"/>
    <row r="73" ht="15.75" customHeight="1" s="71"/>
    <row r="74" ht="15.75" customHeight="1" s="71"/>
    <row r="75" ht="15.75" customHeight="1" s="71"/>
    <row r="76" ht="15.75" customHeight="1" s="71"/>
    <row r="77" ht="15.75" customHeight="1" s="71"/>
    <row r="78" ht="15.75" customHeight="1" s="71"/>
    <row r="79" ht="15.75" customHeight="1" s="71"/>
    <row r="80" ht="15.75" customHeight="1" s="71"/>
    <row r="81" ht="15.75" customHeight="1" s="71"/>
    <row r="82" ht="15.75" customHeight="1" s="71"/>
    <row r="83" ht="15.75" customHeight="1" s="71"/>
    <row r="84" ht="15.75" customHeight="1" s="71"/>
    <row r="85" ht="15.75" customHeight="1" s="71"/>
    <row r="86" ht="15.75" customHeight="1" s="71"/>
    <row r="87" ht="15.75" customHeight="1" s="71"/>
    <row r="88" ht="15.75" customHeight="1" s="71"/>
    <row r="89" ht="15.75" customHeight="1" s="71"/>
    <row r="90" ht="15.75" customHeight="1" s="71"/>
    <row r="91" ht="15.75" customHeight="1" s="71"/>
    <row r="92" ht="15.75" customHeight="1" s="71"/>
    <row r="93" ht="15.75" customHeight="1" s="71"/>
    <row r="94" ht="15.75" customHeight="1" s="71"/>
    <row r="95" ht="15.75" customHeight="1" s="71"/>
    <row r="96" ht="15.75" customHeight="1" s="71"/>
    <row r="97" ht="15.75" customHeight="1" s="71"/>
    <row r="98" ht="15.75" customHeight="1" s="71"/>
    <row r="99" ht="15.75" customHeight="1" s="71"/>
    <row r="100" ht="15.75" customHeight="1" s="71"/>
    <row r="101" ht="15.75" customHeight="1" s="71"/>
    <row r="102" ht="15.75" customHeight="1" s="71"/>
    <row r="103" ht="15.75" customHeight="1" s="71"/>
    <row r="104" ht="15.75" customHeight="1" s="71"/>
    <row r="105" ht="15.75" customHeight="1" s="71"/>
    <row r="106" ht="15.75" customHeight="1" s="71"/>
    <row r="107" ht="15.75" customHeight="1" s="71"/>
    <row r="108" ht="15.75" customHeight="1" s="71"/>
    <row r="109" ht="15.75" customHeight="1" s="71"/>
    <row r="110" ht="15.75" customHeight="1" s="71"/>
    <row r="111" ht="15.75" customHeight="1" s="71"/>
    <row r="112" ht="15.75" customHeight="1" s="71"/>
    <row r="113" ht="15.75" customHeight="1" s="71"/>
    <row r="114" ht="15.75" customHeight="1" s="71"/>
    <row r="115" ht="15.75" customHeight="1" s="71"/>
    <row r="116" ht="15.75" customHeight="1" s="71"/>
    <row r="117" ht="15.75" customHeight="1" s="71"/>
    <row r="118" ht="15.75" customHeight="1" s="71"/>
    <row r="119" ht="15.75" customHeight="1" s="71"/>
    <row r="120" ht="15.75" customHeight="1" s="71"/>
    <row r="121" ht="15.75" customHeight="1" s="71"/>
    <row r="122" ht="15.75" customHeight="1" s="71"/>
    <row r="123" ht="15.75" customHeight="1" s="71"/>
    <row r="124" ht="15.75" customHeight="1" s="71"/>
    <row r="125" ht="15.75" customHeight="1" s="71"/>
    <row r="126" ht="15.75" customHeight="1" s="71"/>
    <row r="127" ht="15.75" customHeight="1" s="71"/>
    <row r="128" ht="15.75" customHeight="1" s="71"/>
    <row r="129" ht="15.75" customHeight="1" s="71"/>
    <row r="130" ht="15.75" customHeight="1" s="71"/>
    <row r="131" ht="15.75" customHeight="1" s="71"/>
    <row r="132" ht="15.75" customHeight="1" s="71"/>
    <row r="133" ht="15.75" customHeight="1" s="71"/>
    <row r="134" ht="15.75" customHeight="1" s="71"/>
    <row r="135" ht="15.75" customHeight="1" s="71"/>
    <row r="136" ht="15.75" customHeight="1" s="71"/>
    <row r="137" ht="15.75" customHeight="1" s="71"/>
    <row r="138" ht="15.75" customHeight="1" s="71"/>
    <row r="139" ht="15.75" customHeight="1" s="71"/>
    <row r="140" ht="15.75" customHeight="1" s="71"/>
    <row r="141" ht="15.75" customHeight="1" s="71"/>
    <row r="142" ht="15.75" customHeight="1" s="71"/>
    <row r="143" ht="15.75" customHeight="1" s="71"/>
    <row r="144" ht="15.75" customHeight="1" s="71"/>
    <row r="145" ht="15.75" customHeight="1" s="71"/>
    <row r="146" ht="15.75" customHeight="1" s="71"/>
    <row r="147" ht="15.75" customHeight="1" s="71"/>
    <row r="148" ht="15.75" customHeight="1" s="71"/>
    <row r="149" ht="15.75" customHeight="1" s="71"/>
    <row r="150" ht="15.75" customHeight="1" s="71"/>
    <row r="151" ht="15.75" customHeight="1" s="71"/>
    <row r="152" ht="15.75" customHeight="1" s="71"/>
    <row r="153" ht="15.75" customHeight="1" s="71"/>
    <row r="154" ht="15.75" customHeight="1" s="71"/>
    <row r="155" ht="15.75" customHeight="1" s="71"/>
    <row r="156" ht="15.75" customHeight="1" s="71"/>
    <row r="157" ht="15.75" customHeight="1" s="71"/>
    <row r="158" ht="15.75" customHeight="1" s="71"/>
    <row r="159" ht="15.75" customHeight="1" s="71"/>
    <row r="160" ht="15.75" customHeight="1" s="71"/>
    <row r="161" ht="15.75" customHeight="1" s="71"/>
    <row r="162" ht="15.75" customHeight="1" s="71"/>
    <row r="163" ht="15.75" customHeight="1" s="71"/>
    <row r="164" ht="15.75" customHeight="1" s="71"/>
    <row r="165" ht="15.75" customHeight="1" s="71"/>
    <row r="166" ht="15.75" customHeight="1" s="71"/>
    <row r="167" ht="15.75" customHeight="1" s="71"/>
    <row r="168" ht="15.75" customHeight="1" s="71"/>
    <row r="169" ht="15.75" customHeight="1" s="71"/>
    <row r="170" ht="15.75" customHeight="1" s="71"/>
    <row r="171" ht="15.75" customHeight="1" s="71"/>
    <row r="172" ht="15.75" customHeight="1" s="71"/>
    <row r="173" ht="15.75" customHeight="1" s="71"/>
    <row r="174" ht="15.75" customHeight="1" s="71"/>
    <row r="175" ht="15.75" customHeight="1" s="71"/>
    <row r="176" ht="15.75" customHeight="1" s="71"/>
    <row r="177" ht="15.75" customHeight="1" s="71"/>
    <row r="178" ht="15.75" customHeight="1" s="71"/>
    <row r="179" ht="15.75" customHeight="1" s="71"/>
    <row r="180" ht="15.75" customHeight="1" s="71"/>
    <row r="181" ht="15.75" customHeight="1" s="71"/>
    <row r="182" ht="15.75" customHeight="1" s="71"/>
    <row r="183" ht="15.75" customHeight="1" s="71"/>
    <row r="184" ht="15.75" customHeight="1" s="71"/>
    <row r="185" ht="15.75" customHeight="1" s="71"/>
    <row r="186" ht="15.75" customHeight="1" s="71"/>
    <row r="187" ht="15.75" customHeight="1" s="71"/>
    <row r="188" ht="15.75" customHeight="1" s="71"/>
    <row r="189" ht="15.75" customHeight="1" s="71"/>
    <row r="190" ht="15.75" customHeight="1" s="71"/>
    <row r="191" ht="15.75" customHeight="1" s="71"/>
    <row r="192" ht="15.75" customHeight="1" s="71"/>
    <row r="193" ht="15.75" customHeight="1" s="71"/>
    <row r="194" ht="15.75" customHeight="1" s="71"/>
    <row r="195" ht="15.75" customHeight="1" s="71"/>
    <row r="196" ht="15.75" customHeight="1" s="71"/>
    <row r="197" ht="15.75" customHeight="1" s="71"/>
    <row r="198" ht="15.75" customHeight="1" s="71"/>
    <row r="199" ht="15.75" customHeight="1" s="71"/>
    <row r="200" ht="15.75" customHeight="1" s="71"/>
    <row r="201" ht="15.75" customHeight="1" s="71"/>
    <row r="202" ht="15.75" customHeight="1" s="71"/>
    <row r="203" ht="15.75" customHeight="1" s="71"/>
    <row r="204" ht="15.75" customHeight="1" s="71"/>
    <row r="205" ht="15.75" customHeight="1" s="71"/>
    <row r="206" ht="15.75" customHeight="1" s="71"/>
    <row r="207" ht="15.75" customHeight="1" s="71"/>
    <row r="208" ht="15.75" customHeight="1" s="71"/>
    <row r="209" ht="15.75" customHeight="1" s="71"/>
    <row r="210" ht="15.75" customHeight="1" s="71"/>
    <row r="211" ht="15.75" customHeight="1" s="71"/>
    <row r="212" ht="15.75" customHeight="1" s="71"/>
    <row r="213" ht="15.75" customHeight="1" s="71"/>
    <row r="214" ht="15.75" customHeight="1" s="71"/>
    <row r="215" ht="15.75" customHeight="1" s="71"/>
    <row r="216" ht="15.75" customHeight="1" s="71"/>
    <row r="217" ht="15.75" customHeight="1" s="71"/>
    <row r="218" ht="15.75" customHeight="1" s="71"/>
    <row r="219" ht="15.75" customHeight="1" s="71"/>
    <row r="220" ht="15.75" customHeight="1" s="71"/>
    <row r="221" ht="15.75" customHeight="1" s="71"/>
    <row r="222" ht="15.75" customHeight="1" s="71"/>
    <row r="223" ht="15.75" customHeight="1" s="71"/>
    <row r="224" ht="15.75" customHeight="1" s="71"/>
    <row r="225" ht="15.75" customHeight="1" s="71"/>
    <row r="226" ht="15.75" customHeight="1" s="71"/>
    <row r="227" ht="15.75" customHeight="1" s="71"/>
    <row r="228" ht="15.75" customHeight="1" s="71"/>
    <row r="229" ht="15.75" customHeight="1" s="71"/>
    <row r="230" ht="15.75" customHeight="1" s="71"/>
    <row r="231" ht="15.75" customHeight="1" s="71"/>
    <row r="232" ht="15.75" customHeight="1" s="71"/>
    <row r="233" ht="15.75" customHeight="1" s="71"/>
    <row r="234" ht="15.75" customHeight="1" s="71"/>
    <row r="235" ht="15.75" customHeight="1" s="71"/>
    <row r="236" ht="15.75" customHeight="1" s="71"/>
    <row r="237" ht="15.75" customHeight="1" s="71"/>
    <row r="238" ht="15.75" customHeight="1" s="71"/>
    <row r="239" ht="15.75" customHeight="1" s="71"/>
    <row r="240" ht="15.75" customHeight="1" s="71"/>
    <row r="241" ht="15.75" customHeight="1" s="71"/>
    <row r="242" ht="15.75" customHeight="1" s="71"/>
    <row r="243" ht="15.75" customHeight="1" s="71"/>
    <row r="244" ht="15.75" customHeight="1" s="71"/>
    <row r="245" ht="15.75" customHeight="1" s="71"/>
    <row r="246" ht="15.75" customHeight="1" s="71"/>
    <row r="247" ht="15.75" customHeight="1" s="71"/>
    <row r="248" ht="15.75" customHeight="1" s="71"/>
    <row r="249" ht="15.75" customHeight="1" s="71"/>
    <row r="250" ht="15.75" customHeight="1" s="71"/>
    <row r="251" ht="15.75" customHeight="1" s="71"/>
    <row r="252" ht="15.75" customHeight="1" s="71"/>
    <row r="253" ht="15.75" customHeight="1" s="71"/>
    <row r="254" ht="15.75" customHeight="1" s="71"/>
    <row r="255" ht="15.75" customHeight="1" s="71"/>
    <row r="256" ht="15.75" customHeight="1" s="71"/>
    <row r="257" ht="15.75" customHeight="1" s="71"/>
    <row r="258" ht="15.75" customHeight="1" s="71"/>
    <row r="259" ht="15.75" customHeight="1" s="71"/>
    <row r="260" ht="15.75" customHeight="1" s="71"/>
    <row r="261" ht="15.75" customHeight="1" s="71"/>
    <row r="262" ht="15.75" customHeight="1" s="71"/>
    <row r="263" ht="15.75" customHeight="1" s="71"/>
    <row r="264" ht="15.75" customHeight="1" s="71"/>
    <row r="265" ht="15.75" customHeight="1" s="71"/>
    <row r="266" ht="15.75" customHeight="1" s="71"/>
    <row r="267" ht="15.75" customHeight="1" s="71"/>
    <row r="268" ht="15.75" customHeight="1" s="71"/>
    <row r="269" ht="15.75" customHeight="1" s="71"/>
    <row r="270" ht="15.75" customHeight="1" s="71"/>
    <row r="271" ht="15.75" customHeight="1" s="71"/>
    <row r="272" ht="15.75" customHeight="1" s="71"/>
    <row r="273" ht="15.75" customHeight="1" s="71"/>
    <row r="274" ht="15.75" customHeight="1" s="71"/>
    <row r="275" ht="15.75" customHeight="1" s="71"/>
    <row r="276" ht="15.75" customHeight="1" s="71"/>
    <row r="277" ht="15.75" customHeight="1" s="71"/>
    <row r="278" ht="15.75" customHeight="1" s="71"/>
    <row r="279" ht="15.75" customHeight="1" s="71"/>
    <row r="280" ht="15.75" customHeight="1" s="71"/>
    <row r="281" ht="15.75" customHeight="1" s="71"/>
    <row r="282" ht="15.75" customHeight="1" s="71"/>
    <row r="283" ht="15.75" customHeight="1" s="71"/>
    <row r="284" ht="15.75" customHeight="1" s="71"/>
    <row r="285" ht="15.75" customHeight="1" s="71"/>
    <row r="286" ht="15.75" customHeight="1" s="71"/>
    <row r="287" ht="15.75" customHeight="1" s="71"/>
    <row r="288" ht="15.75" customHeight="1" s="71"/>
    <row r="289" ht="15.75" customHeight="1" s="71"/>
    <row r="290" ht="15.75" customHeight="1" s="71"/>
    <row r="291" ht="15.75" customHeight="1" s="71"/>
    <row r="292" ht="15.75" customHeight="1" s="71"/>
    <row r="293" ht="15.75" customHeight="1" s="71"/>
    <row r="294" ht="15.75" customHeight="1" s="71"/>
    <row r="295" ht="15.75" customHeight="1" s="71"/>
    <row r="296" ht="15.75" customHeight="1" s="71"/>
    <row r="297" ht="15.75" customHeight="1" s="71"/>
    <row r="298" ht="15.75" customHeight="1" s="71"/>
    <row r="299" ht="15.75" customHeight="1" s="71"/>
    <row r="300" ht="15.75" customHeight="1" s="71"/>
    <row r="301" ht="15.75" customHeight="1" s="71"/>
    <row r="302" ht="15.75" customHeight="1" s="71"/>
    <row r="303" ht="15.75" customHeight="1" s="71"/>
    <row r="304" ht="15.75" customHeight="1" s="71"/>
    <row r="305" ht="15.75" customHeight="1" s="71"/>
    <row r="306" ht="15.75" customHeight="1" s="71"/>
    <row r="307" ht="15.75" customHeight="1" s="71"/>
    <row r="308" ht="15.75" customHeight="1" s="71"/>
    <row r="309" ht="15.75" customHeight="1" s="71"/>
    <row r="310" ht="15.75" customHeight="1" s="71"/>
    <row r="311" ht="15.75" customHeight="1" s="71"/>
    <row r="312" ht="15.75" customHeight="1" s="71"/>
    <row r="313" ht="15.75" customHeight="1" s="71"/>
    <row r="314" ht="15.75" customHeight="1" s="71"/>
    <row r="315" ht="15.75" customHeight="1" s="71"/>
    <row r="316" ht="15.75" customHeight="1" s="71"/>
    <row r="317" ht="15.75" customHeight="1" s="71"/>
    <row r="318" ht="15.75" customHeight="1" s="71"/>
    <row r="319" ht="15.75" customHeight="1" s="71"/>
    <row r="320" ht="15.75" customHeight="1" s="71"/>
    <row r="321" ht="15.75" customHeight="1" s="71"/>
    <row r="322" ht="15.75" customHeight="1" s="71"/>
    <row r="323" ht="15.75" customHeight="1" s="71"/>
    <row r="324" ht="15.75" customHeight="1" s="71"/>
    <row r="325" ht="15.75" customHeight="1" s="71"/>
    <row r="326" ht="15.75" customHeight="1" s="71"/>
    <row r="327" ht="15.75" customHeight="1" s="71"/>
    <row r="328" ht="15.75" customHeight="1" s="71"/>
    <row r="329" ht="15.75" customHeight="1" s="71"/>
    <row r="330" ht="15.75" customHeight="1" s="71"/>
    <row r="331" ht="15.75" customHeight="1" s="71"/>
    <row r="332" ht="15.75" customHeight="1" s="71"/>
    <row r="333" ht="15.75" customHeight="1" s="71"/>
    <row r="334" ht="15.75" customHeight="1" s="71"/>
    <row r="335" ht="15.75" customHeight="1" s="71"/>
    <row r="336" ht="15.75" customHeight="1" s="71"/>
    <row r="337" ht="15.75" customHeight="1" s="71"/>
    <row r="338" ht="15.75" customHeight="1" s="71"/>
    <row r="339" ht="15.75" customHeight="1" s="71"/>
    <row r="340" ht="15.75" customHeight="1" s="71"/>
    <row r="341" ht="15.75" customHeight="1" s="71"/>
    <row r="342" ht="15.75" customHeight="1" s="71"/>
    <row r="343" ht="15.75" customHeight="1" s="71"/>
    <row r="344" ht="15.75" customHeight="1" s="71"/>
    <row r="345" ht="15.75" customHeight="1" s="71"/>
    <row r="346" ht="15.75" customHeight="1" s="71"/>
    <row r="347" ht="15.75" customHeight="1" s="71"/>
    <row r="348" ht="15.75" customHeight="1" s="71"/>
    <row r="349" ht="15.75" customHeight="1" s="71"/>
    <row r="350" ht="15.75" customHeight="1" s="71"/>
    <row r="351" ht="15.75" customHeight="1" s="71"/>
    <row r="352" ht="15.75" customHeight="1" s="71"/>
    <row r="353" ht="15.75" customHeight="1" s="71"/>
    <row r="354" ht="15.75" customHeight="1" s="71"/>
    <row r="355" ht="15.75" customHeight="1" s="71"/>
    <row r="356" ht="15.75" customHeight="1" s="71"/>
    <row r="357" ht="15.75" customHeight="1" s="71"/>
    <row r="358" ht="15.75" customHeight="1" s="71"/>
    <row r="359" ht="15.75" customHeight="1" s="71"/>
    <row r="360" ht="15.75" customHeight="1" s="71"/>
    <row r="361" ht="15.75" customHeight="1" s="71"/>
    <row r="362" ht="15.75" customHeight="1" s="71"/>
    <row r="363" ht="15.75" customHeight="1" s="71"/>
    <row r="364" ht="15.75" customHeight="1" s="71"/>
    <row r="365" ht="15.75" customHeight="1" s="71"/>
    <row r="366" ht="15.75" customHeight="1" s="71"/>
    <row r="367" ht="15.75" customHeight="1" s="71"/>
    <row r="368" ht="15.75" customHeight="1" s="71"/>
    <row r="369" ht="15.75" customHeight="1" s="71"/>
    <row r="370" ht="15.75" customHeight="1" s="71"/>
    <row r="371" ht="15.75" customHeight="1" s="71"/>
    <row r="372" ht="15.75" customHeight="1" s="71"/>
    <row r="373" ht="15.75" customHeight="1" s="71"/>
    <row r="374" ht="15.75" customHeight="1" s="71"/>
    <row r="375" ht="15.75" customHeight="1" s="71"/>
    <row r="376" ht="15.75" customHeight="1" s="71"/>
    <row r="377" ht="15.75" customHeight="1" s="71"/>
    <row r="378" ht="15.75" customHeight="1" s="71"/>
    <row r="379" ht="15.75" customHeight="1" s="71"/>
    <row r="380" ht="15.75" customHeight="1" s="71"/>
    <row r="381" ht="15.75" customHeight="1" s="71"/>
    <row r="382" ht="15.75" customHeight="1" s="71"/>
    <row r="383" ht="15.75" customHeight="1" s="71"/>
    <row r="384" ht="15.75" customHeight="1" s="71"/>
    <row r="385" ht="15.75" customHeight="1" s="71"/>
    <row r="386" ht="15.75" customHeight="1" s="71"/>
    <row r="387" ht="15.75" customHeight="1" s="71"/>
    <row r="388" ht="15.75" customHeight="1" s="71"/>
    <row r="389" ht="15.75" customHeight="1" s="71"/>
    <row r="390" ht="15.75" customHeight="1" s="71"/>
    <row r="391" ht="15.75" customHeight="1" s="71"/>
    <row r="392" ht="15.75" customHeight="1" s="71"/>
    <row r="393" ht="15.75" customHeight="1" s="71"/>
    <row r="394" ht="15.75" customHeight="1" s="71"/>
    <row r="395" ht="15.75" customHeight="1" s="71"/>
    <row r="396" ht="15.75" customHeight="1" s="71"/>
    <row r="397" ht="15.75" customHeight="1" s="71"/>
    <row r="398" ht="15.75" customHeight="1" s="71"/>
    <row r="399" ht="15.75" customHeight="1" s="71"/>
    <row r="400" ht="15.75" customHeight="1" s="71"/>
    <row r="401" ht="15.75" customHeight="1" s="71"/>
    <row r="402" ht="15.75" customHeight="1" s="71"/>
    <row r="403" ht="15.75" customHeight="1" s="71"/>
    <row r="404" ht="15.75" customHeight="1" s="71"/>
    <row r="405" ht="15.75" customHeight="1" s="71"/>
    <row r="406" ht="15.75" customHeight="1" s="71"/>
    <row r="407" ht="15.75" customHeight="1" s="71"/>
    <row r="408" ht="15.75" customHeight="1" s="71"/>
    <row r="409" ht="15.75" customHeight="1" s="71"/>
    <row r="410" ht="15.75" customHeight="1" s="71"/>
    <row r="411" ht="15.75" customHeight="1" s="71"/>
    <row r="412" ht="15.75" customHeight="1" s="71"/>
    <row r="413" ht="15.75" customHeight="1" s="71"/>
    <row r="414" ht="15.75" customHeight="1" s="71"/>
    <row r="415" ht="15.75" customHeight="1" s="71"/>
    <row r="416" ht="15.75" customHeight="1" s="71"/>
    <row r="417" ht="15.75" customHeight="1" s="71"/>
    <row r="418" ht="15.75" customHeight="1" s="71"/>
    <row r="419" ht="15.75" customHeight="1" s="71"/>
    <row r="420" ht="15.75" customHeight="1" s="71"/>
    <row r="421" ht="15.75" customHeight="1" s="71"/>
    <row r="422" ht="15.75" customHeight="1" s="71"/>
    <row r="423" ht="15.75" customHeight="1" s="71"/>
    <row r="424" ht="15.75" customHeight="1" s="71"/>
    <row r="425" ht="15.75" customHeight="1" s="71"/>
    <row r="426" ht="15.75" customHeight="1" s="71"/>
    <row r="427" ht="15.75" customHeight="1" s="71"/>
    <row r="428" ht="15.75" customHeight="1" s="71"/>
    <row r="429" ht="15.75" customHeight="1" s="71"/>
    <row r="430" ht="15.75" customHeight="1" s="71"/>
    <row r="431" ht="15.75" customHeight="1" s="71"/>
    <row r="432" ht="15.75" customHeight="1" s="71"/>
    <row r="433" ht="15.75" customHeight="1" s="71"/>
    <row r="434" ht="15.75" customHeight="1" s="71"/>
    <row r="435" ht="15.75" customHeight="1" s="71"/>
    <row r="436" ht="15.75" customHeight="1" s="71"/>
    <row r="437" ht="15.75" customHeight="1" s="71"/>
    <row r="438" ht="15.75" customHeight="1" s="71"/>
    <row r="439" ht="15.75" customHeight="1" s="71"/>
    <row r="440" ht="15.75" customHeight="1" s="71"/>
    <row r="441" ht="15.75" customHeight="1" s="71"/>
    <row r="442" ht="15.75" customHeight="1" s="71"/>
    <row r="443" ht="15.75" customHeight="1" s="71"/>
    <row r="444" ht="15.75" customHeight="1" s="71"/>
    <row r="445" ht="15.75" customHeight="1" s="71"/>
    <row r="446" ht="15.75" customHeight="1" s="71"/>
    <row r="447" ht="15.75" customHeight="1" s="71"/>
    <row r="448" ht="15.75" customHeight="1" s="71"/>
    <row r="449" ht="15.75" customHeight="1" s="71"/>
    <row r="450" ht="15.75" customHeight="1" s="71"/>
    <row r="451" ht="15.75" customHeight="1" s="71"/>
    <row r="452" ht="15.75" customHeight="1" s="71"/>
    <row r="453" ht="15.75" customHeight="1" s="71"/>
    <row r="454" ht="15.75" customHeight="1" s="71"/>
    <row r="455" ht="15.75" customHeight="1" s="71"/>
    <row r="456" ht="15.75" customHeight="1" s="71"/>
    <row r="457" ht="15.75" customHeight="1" s="71"/>
    <row r="458" ht="15.75" customHeight="1" s="71"/>
    <row r="459" ht="15.75" customHeight="1" s="71"/>
    <row r="460" ht="15.75" customHeight="1" s="71"/>
    <row r="461" ht="15.75" customHeight="1" s="71"/>
    <row r="462" ht="15.75" customHeight="1" s="71"/>
    <row r="463" ht="15.75" customHeight="1" s="71"/>
    <row r="464" ht="15.75" customHeight="1" s="71"/>
    <row r="465" ht="15.75" customHeight="1" s="71"/>
    <row r="466" ht="15.75" customHeight="1" s="71"/>
    <row r="467" ht="15.75" customHeight="1" s="71"/>
    <row r="468" ht="15.75" customHeight="1" s="71"/>
    <row r="469" ht="15.75" customHeight="1" s="71"/>
    <row r="470" ht="15.75" customHeight="1" s="71"/>
    <row r="471" ht="15.75" customHeight="1" s="71"/>
    <row r="472" ht="15.75" customHeight="1" s="71"/>
    <row r="473" ht="15.75" customHeight="1" s="71"/>
    <row r="474" ht="15.75" customHeight="1" s="71"/>
    <row r="475" ht="15.75" customHeight="1" s="71"/>
    <row r="476" ht="15.75" customHeight="1" s="71"/>
    <row r="477" ht="15.75" customHeight="1" s="71"/>
    <row r="478" ht="15.75" customHeight="1" s="71"/>
    <row r="479" ht="15.75" customHeight="1" s="71"/>
    <row r="480" ht="15.75" customHeight="1" s="71"/>
    <row r="481" ht="15.75" customHeight="1" s="71"/>
    <row r="482" ht="15.75" customHeight="1" s="71"/>
    <row r="483" ht="15.75" customHeight="1" s="71"/>
    <row r="484" ht="15.75" customHeight="1" s="71"/>
    <row r="485" ht="15.75" customHeight="1" s="71"/>
    <row r="486" ht="15.75" customHeight="1" s="71"/>
    <row r="487" ht="15.75" customHeight="1" s="71"/>
    <row r="488" ht="15.75" customHeight="1" s="71"/>
    <row r="489" ht="15.75" customHeight="1" s="71"/>
    <row r="490" ht="15.75" customHeight="1" s="71"/>
    <row r="491" ht="15.75" customHeight="1" s="71"/>
    <row r="492" ht="15.75" customHeight="1" s="71"/>
    <row r="493" ht="15.75" customHeight="1" s="71"/>
    <row r="494" ht="15.75" customHeight="1" s="71"/>
    <row r="495" ht="15.75" customHeight="1" s="71"/>
    <row r="496" ht="15.75" customHeight="1" s="71"/>
    <row r="497" ht="15.75" customHeight="1" s="71"/>
    <row r="498" ht="15.75" customHeight="1" s="71"/>
    <row r="499" ht="15.75" customHeight="1" s="71"/>
    <row r="500" ht="15.75" customHeight="1" s="71"/>
    <row r="501" ht="15.75" customHeight="1" s="71"/>
    <row r="502" ht="15.75" customHeight="1" s="71"/>
    <row r="503" ht="15.75" customHeight="1" s="71"/>
    <row r="504" ht="15.75" customHeight="1" s="71"/>
    <row r="505" ht="15.75" customHeight="1" s="71"/>
    <row r="506" ht="15.75" customHeight="1" s="71"/>
    <row r="507" ht="15.75" customHeight="1" s="71"/>
    <row r="508" ht="15.75" customHeight="1" s="71"/>
    <row r="509" ht="15.75" customHeight="1" s="71"/>
    <row r="510" ht="15.75" customHeight="1" s="71"/>
    <row r="511" ht="15.75" customHeight="1" s="71"/>
    <row r="512" ht="15.75" customHeight="1" s="71"/>
    <row r="513" ht="15.75" customHeight="1" s="71"/>
    <row r="514" ht="15.75" customHeight="1" s="71"/>
    <row r="515" ht="15.75" customHeight="1" s="71"/>
    <row r="516" ht="15.75" customHeight="1" s="71"/>
    <row r="517" ht="15.75" customHeight="1" s="71"/>
    <row r="518" ht="15.75" customHeight="1" s="71"/>
    <row r="519" ht="15.75" customHeight="1" s="71"/>
    <row r="520" ht="15.75" customHeight="1" s="71"/>
    <row r="521" ht="15.75" customHeight="1" s="71"/>
    <row r="522" ht="15.75" customHeight="1" s="71"/>
    <row r="523" ht="15.75" customHeight="1" s="71"/>
    <row r="524" ht="15.75" customHeight="1" s="71"/>
    <row r="525" ht="15.75" customHeight="1" s="71"/>
    <row r="526" ht="15.75" customHeight="1" s="71"/>
    <row r="527" ht="15.75" customHeight="1" s="71"/>
    <row r="528" ht="15.75" customHeight="1" s="71"/>
    <row r="529" ht="15.75" customHeight="1" s="71"/>
    <row r="530" ht="15.75" customHeight="1" s="71"/>
    <row r="531" ht="15.75" customHeight="1" s="71"/>
    <row r="532" ht="15.75" customHeight="1" s="71"/>
    <row r="533" ht="15.75" customHeight="1" s="71"/>
    <row r="534" ht="15.75" customHeight="1" s="71"/>
    <row r="535" ht="15.75" customHeight="1" s="71"/>
    <row r="536" ht="15.75" customHeight="1" s="71"/>
    <row r="537" ht="15.75" customHeight="1" s="71"/>
    <row r="538" ht="15.75" customHeight="1" s="71"/>
    <row r="539" ht="15.75" customHeight="1" s="71"/>
    <row r="540" ht="15.75" customHeight="1" s="71"/>
    <row r="541" ht="15.75" customHeight="1" s="71"/>
    <row r="542" ht="15.75" customHeight="1" s="71"/>
    <row r="543" ht="15.75" customHeight="1" s="71"/>
    <row r="544" ht="15.75" customHeight="1" s="71"/>
    <row r="545" ht="15.75" customHeight="1" s="71"/>
    <row r="546" ht="15.75" customHeight="1" s="71"/>
    <row r="547" ht="15.75" customHeight="1" s="71"/>
    <row r="548" ht="15.75" customHeight="1" s="71"/>
    <row r="549" ht="15.75" customHeight="1" s="71"/>
    <row r="550" ht="15.75" customHeight="1" s="71"/>
    <row r="551" ht="15.75" customHeight="1" s="71"/>
    <row r="552" ht="15.75" customHeight="1" s="71"/>
    <row r="553" ht="15.75" customHeight="1" s="71"/>
    <row r="554" ht="15.75" customHeight="1" s="71"/>
    <row r="555" ht="15.75" customHeight="1" s="71"/>
    <row r="556" ht="15.75" customHeight="1" s="71"/>
    <row r="557" ht="15.75" customHeight="1" s="71"/>
    <row r="558" ht="15.75" customHeight="1" s="71"/>
    <row r="559" ht="15.75" customHeight="1" s="71"/>
    <row r="560" ht="15.75" customHeight="1" s="71"/>
    <row r="561" ht="15.75" customHeight="1" s="71"/>
    <row r="562" ht="15.75" customHeight="1" s="71"/>
    <row r="563" ht="15.75" customHeight="1" s="71"/>
    <row r="564" ht="15.75" customHeight="1" s="71"/>
    <row r="565" ht="15.75" customHeight="1" s="71"/>
    <row r="566" ht="15.75" customHeight="1" s="71"/>
    <row r="567" ht="15.75" customHeight="1" s="71"/>
    <row r="568" ht="15.75" customHeight="1" s="71"/>
    <row r="569" ht="15.75" customHeight="1" s="71"/>
    <row r="570" ht="15.75" customHeight="1" s="71"/>
    <row r="571" ht="15.75" customHeight="1" s="71"/>
    <row r="572" ht="15.75" customHeight="1" s="71"/>
    <row r="573" ht="15.75" customHeight="1" s="71"/>
    <row r="574" ht="15.75" customHeight="1" s="71"/>
    <row r="575" ht="15.75" customHeight="1" s="71"/>
    <row r="576" ht="15.75" customHeight="1" s="71"/>
    <row r="577" ht="15.75" customHeight="1" s="71"/>
    <row r="578" ht="15.75" customHeight="1" s="71"/>
    <row r="579" ht="15.75" customHeight="1" s="71"/>
    <row r="580" ht="15.75" customHeight="1" s="71"/>
    <row r="581" ht="15.75" customHeight="1" s="71"/>
    <row r="582" ht="15.75" customHeight="1" s="71"/>
    <row r="583" ht="15.75" customHeight="1" s="71"/>
    <row r="584" ht="15.75" customHeight="1" s="71"/>
    <row r="585" ht="15.75" customHeight="1" s="71"/>
    <row r="586" ht="15.75" customHeight="1" s="71"/>
    <row r="587" ht="15.75" customHeight="1" s="71"/>
    <row r="588" ht="15.75" customHeight="1" s="71"/>
    <row r="589" ht="15.75" customHeight="1" s="71"/>
    <row r="590" ht="15.75" customHeight="1" s="71"/>
    <row r="591" ht="15.75" customHeight="1" s="71"/>
    <row r="592" ht="15.75" customHeight="1" s="71"/>
    <row r="593" ht="15.75" customHeight="1" s="71"/>
    <row r="594" ht="15.75" customHeight="1" s="71"/>
    <row r="595" ht="15.75" customHeight="1" s="71"/>
    <row r="596" ht="15.75" customHeight="1" s="71"/>
    <row r="597" ht="15.75" customHeight="1" s="71"/>
    <row r="598" ht="15.75" customHeight="1" s="71"/>
    <row r="599" ht="15.75" customHeight="1" s="71"/>
    <row r="600" ht="15.75" customHeight="1" s="71"/>
    <row r="601" ht="15.75" customHeight="1" s="71"/>
    <row r="602" ht="15.75" customHeight="1" s="71"/>
    <row r="603" ht="15.75" customHeight="1" s="71"/>
    <row r="604" ht="15.75" customHeight="1" s="71"/>
    <row r="605" ht="15.75" customHeight="1" s="71"/>
    <row r="606" ht="15.75" customHeight="1" s="71"/>
    <row r="607" ht="15.75" customHeight="1" s="71"/>
    <row r="608" ht="15.75" customHeight="1" s="71"/>
    <row r="609" ht="15.75" customHeight="1" s="71"/>
    <row r="610" ht="15.75" customHeight="1" s="71"/>
    <row r="611" ht="15.75" customHeight="1" s="71"/>
    <row r="612" ht="15.75" customHeight="1" s="71"/>
    <row r="613" ht="15.75" customHeight="1" s="71"/>
    <row r="614" ht="15.75" customHeight="1" s="71"/>
    <row r="615" ht="15.75" customHeight="1" s="71"/>
    <row r="616" ht="15.75" customHeight="1" s="71"/>
    <row r="617" ht="15.75" customHeight="1" s="71"/>
    <row r="618" ht="15.75" customHeight="1" s="71"/>
    <row r="619" ht="15.75" customHeight="1" s="71"/>
    <row r="620" ht="15.75" customHeight="1" s="71"/>
    <row r="621" ht="15.75" customHeight="1" s="71"/>
    <row r="622" ht="15.75" customHeight="1" s="71"/>
    <row r="623" ht="15.75" customHeight="1" s="71"/>
    <row r="624" ht="15.75" customHeight="1" s="71"/>
    <row r="625" ht="15.75" customHeight="1" s="71"/>
    <row r="626" ht="15.75" customHeight="1" s="71"/>
    <row r="627" ht="15.75" customHeight="1" s="71"/>
    <row r="628" ht="15.75" customHeight="1" s="71"/>
    <row r="629" ht="15.75" customHeight="1" s="71"/>
    <row r="630" ht="15.75" customHeight="1" s="71"/>
    <row r="631" ht="15.75" customHeight="1" s="71"/>
    <row r="632" ht="15.75" customHeight="1" s="71"/>
    <row r="633" ht="15.75" customHeight="1" s="71"/>
    <row r="634" ht="15.75" customHeight="1" s="71"/>
    <row r="635" ht="15.75" customHeight="1" s="71"/>
    <row r="636" ht="15.75" customHeight="1" s="71"/>
    <row r="637" ht="15.75" customHeight="1" s="71"/>
    <row r="638" ht="15.75" customHeight="1" s="71"/>
    <row r="639" ht="15.75" customHeight="1" s="71"/>
    <row r="640" ht="15.75" customHeight="1" s="71"/>
    <row r="641" ht="15.75" customHeight="1" s="71"/>
    <row r="642" ht="15.75" customHeight="1" s="71"/>
    <row r="643" ht="15.75" customHeight="1" s="71"/>
    <row r="644" ht="15.75" customHeight="1" s="71"/>
    <row r="645" ht="15.75" customHeight="1" s="71"/>
    <row r="646" ht="15.75" customHeight="1" s="71"/>
    <row r="647" ht="15.75" customHeight="1" s="71"/>
    <row r="648" ht="15.75" customHeight="1" s="71"/>
    <row r="649" ht="15.75" customHeight="1" s="71"/>
    <row r="650" ht="15.75" customHeight="1" s="71"/>
    <row r="651" ht="15.75" customHeight="1" s="71"/>
    <row r="652" ht="15.75" customHeight="1" s="71"/>
    <row r="653" ht="15.75" customHeight="1" s="71"/>
    <row r="654" ht="15.75" customHeight="1" s="71"/>
    <row r="655" ht="15.75" customHeight="1" s="71"/>
    <row r="656" ht="15.75" customHeight="1" s="71"/>
    <row r="657" ht="15.75" customHeight="1" s="71"/>
    <row r="658" ht="15.75" customHeight="1" s="71"/>
    <row r="659" ht="15.75" customHeight="1" s="71"/>
    <row r="660" ht="15.75" customHeight="1" s="71"/>
    <row r="661" ht="15.75" customHeight="1" s="71"/>
    <row r="662" ht="15.75" customHeight="1" s="71"/>
    <row r="663" ht="15.75" customHeight="1" s="71"/>
    <row r="664" ht="15.75" customHeight="1" s="71"/>
    <row r="665" ht="15.75" customHeight="1" s="71"/>
    <row r="666" ht="15.75" customHeight="1" s="71"/>
    <row r="667" ht="15.75" customHeight="1" s="71"/>
    <row r="668" ht="15.75" customHeight="1" s="71"/>
    <row r="669" ht="15.75" customHeight="1" s="71"/>
    <row r="670" ht="15.75" customHeight="1" s="71"/>
    <row r="671" ht="15.75" customHeight="1" s="71"/>
    <row r="672" ht="15.75" customHeight="1" s="71"/>
    <row r="673" ht="15.75" customHeight="1" s="71"/>
    <row r="674" ht="15.75" customHeight="1" s="71"/>
    <row r="675" ht="15.75" customHeight="1" s="71"/>
    <row r="676" ht="15.75" customHeight="1" s="71"/>
    <row r="677" ht="15.75" customHeight="1" s="71"/>
    <row r="678" ht="15.75" customHeight="1" s="71"/>
    <row r="679" ht="15.75" customHeight="1" s="71"/>
    <row r="680" ht="15.75" customHeight="1" s="71"/>
    <row r="681" ht="15.75" customHeight="1" s="71"/>
    <row r="682" ht="15.75" customHeight="1" s="71"/>
    <row r="683" ht="15.75" customHeight="1" s="71"/>
    <row r="684" ht="15.75" customHeight="1" s="71"/>
    <row r="685" ht="15.75" customHeight="1" s="71"/>
    <row r="686" ht="15.75" customHeight="1" s="71"/>
    <row r="687" ht="15.75" customHeight="1" s="71"/>
    <row r="688" ht="15.75" customHeight="1" s="71"/>
    <row r="689" ht="15.75" customHeight="1" s="71"/>
    <row r="690" ht="15.75" customHeight="1" s="71"/>
    <row r="691" ht="15.75" customHeight="1" s="71"/>
    <row r="692" ht="15.75" customHeight="1" s="71"/>
    <row r="693" ht="15.75" customHeight="1" s="71"/>
    <row r="694" ht="15.75" customHeight="1" s="71"/>
    <row r="695" ht="15.75" customHeight="1" s="71"/>
    <row r="696" ht="15.75" customHeight="1" s="71"/>
    <row r="697" ht="15.75" customHeight="1" s="71"/>
    <row r="698" ht="15.75" customHeight="1" s="71"/>
    <row r="699" ht="15.75" customHeight="1" s="71"/>
    <row r="700" ht="15.75" customHeight="1" s="71"/>
    <row r="701" ht="15.75" customHeight="1" s="71"/>
    <row r="702" ht="15.75" customHeight="1" s="71"/>
    <row r="703" ht="15.75" customHeight="1" s="71"/>
    <row r="704" ht="15.75" customHeight="1" s="71"/>
    <row r="705" ht="15.75" customHeight="1" s="71"/>
    <row r="706" ht="15.75" customHeight="1" s="71"/>
    <row r="707" ht="15.75" customHeight="1" s="71"/>
    <row r="708" ht="15.75" customHeight="1" s="71"/>
    <row r="709" ht="15.75" customHeight="1" s="71"/>
    <row r="710" ht="15.75" customHeight="1" s="71"/>
    <row r="711" ht="15.75" customHeight="1" s="71"/>
    <row r="712" ht="15.75" customHeight="1" s="71"/>
    <row r="713" ht="15.75" customHeight="1" s="71"/>
    <row r="714" ht="15.75" customHeight="1" s="71"/>
    <row r="715" ht="15.75" customHeight="1" s="71"/>
    <row r="716" ht="15.75" customHeight="1" s="71"/>
    <row r="717" ht="15.75" customHeight="1" s="71"/>
    <row r="718" ht="15.75" customHeight="1" s="71"/>
    <row r="719" ht="15.75" customHeight="1" s="71"/>
    <row r="720" ht="15.75" customHeight="1" s="71"/>
    <row r="721" ht="15.75" customHeight="1" s="71"/>
    <row r="722" ht="15.75" customHeight="1" s="71"/>
    <row r="723" ht="15.75" customHeight="1" s="71"/>
    <row r="724" ht="15.75" customHeight="1" s="71"/>
    <row r="725" ht="15.75" customHeight="1" s="71"/>
    <row r="726" ht="15.75" customHeight="1" s="71"/>
    <row r="727" ht="15.75" customHeight="1" s="71"/>
    <row r="728" ht="15.75" customHeight="1" s="71"/>
    <row r="729" ht="15.75" customHeight="1" s="71"/>
    <row r="730" ht="15.75" customHeight="1" s="71"/>
    <row r="731" ht="15.75" customHeight="1" s="71"/>
    <row r="732" ht="15.75" customHeight="1" s="71"/>
    <row r="733" ht="15.75" customHeight="1" s="71"/>
    <row r="734" ht="15.75" customHeight="1" s="71"/>
    <row r="735" ht="15.75" customHeight="1" s="71"/>
    <row r="736" ht="15.75" customHeight="1" s="71"/>
    <row r="737" ht="15.75" customHeight="1" s="71"/>
    <row r="738" ht="15.75" customHeight="1" s="71"/>
    <row r="739" ht="15.75" customHeight="1" s="71"/>
    <row r="740" ht="15.75" customHeight="1" s="71"/>
    <row r="741" ht="15.75" customHeight="1" s="71"/>
    <row r="742" ht="15.75" customHeight="1" s="71"/>
    <row r="743" ht="15.75" customHeight="1" s="71"/>
    <row r="744" ht="15.75" customHeight="1" s="71"/>
    <row r="745" ht="15.75" customHeight="1" s="71"/>
    <row r="746" ht="15.75" customHeight="1" s="71"/>
    <row r="747" ht="15.75" customHeight="1" s="71"/>
    <row r="748" ht="15.75" customHeight="1" s="71"/>
    <row r="749" ht="15.75" customHeight="1" s="71"/>
    <row r="750" ht="15.75" customHeight="1" s="71"/>
    <row r="751" ht="15.75" customHeight="1" s="71"/>
    <row r="752" ht="15.75" customHeight="1" s="71"/>
    <row r="753" ht="15.75" customHeight="1" s="71"/>
    <row r="754" ht="15.75" customHeight="1" s="71"/>
    <row r="755" ht="15.75" customHeight="1" s="71"/>
    <row r="756" ht="15.75" customHeight="1" s="71"/>
    <row r="757" ht="15.75" customHeight="1" s="71"/>
    <row r="758" ht="15.75" customHeight="1" s="71"/>
    <row r="759" ht="15.75" customHeight="1" s="71"/>
    <row r="760" ht="15.75" customHeight="1" s="71"/>
    <row r="761" ht="15.75" customHeight="1" s="71"/>
    <row r="762" ht="15.75" customHeight="1" s="71"/>
    <row r="763" ht="15.75" customHeight="1" s="71"/>
    <row r="764" ht="15.75" customHeight="1" s="71"/>
    <row r="765" ht="15.75" customHeight="1" s="71"/>
    <row r="766" ht="15.75" customHeight="1" s="71"/>
    <row r="767" ht="15.75" customHeight="1" s="71"/>
    <row r="768" ht="15.75" customHeight="1" s="71"/>
    <row r="769" ht="15.75" customHeight="1" s="71"/>
    <row r="770" ht="15.75" customHeight="1" s="71"/>
    <row r="771" ht="15.75" customHeight="1" s="71"/>
    <row r="772" ht="15.75" customHeight="1" s="71"/>
    <row r="773" ht="15.75" customHeight="1" s="71"/>
    <row r="774" ht="15.75" customHeight="1" s="71"/>
    <row r="775" ht="15.75" customHeight="1" s="71"/>
    <row r="776" ht="15.75" customHeight="1" s="71"/>
    <row r="777" ht="15.75" customHeight="1" s="71"/>
    <row r="778" ht="15.75" customHeight="1" s="71"/>
    <row r="779" ht="15.75" customHeight="1" s="71"/>
    <row r="780" ht="15.75" customHeight="1" s="71"/>
    <row r="781" ht="15.75" customHeight="1" s="71"/>
    <row r="782" ht="15.75" customHeight="1" s="71"/>
    <row r="783" ht="15.75" customHeight="1" s="71"/>
    <row r="784" ht="15.75" customHeight="1" s="71"/>
    <row r="785" ht="15.75" customHeight="1" s="71"/>
    <row r="786" ht="15.75" customHeight="1" s="71"/>
    <row r="787" ht="15.75" customHeight="1" s="71"/>
    <row r="788" ht="15.75" customHeight="1" s="71"/>
    <row r="789" ht="15.75" customHeight="1" s="71"/>
    <row r="790" ht="15.75" customHeight="1" s="71"/>
    <row r="791" ht="15.75" customHeight="1" s="71"/>
    <row r="792" ht="15.75" customHeight="1" s="71"/>
    <row r="793" ht="15.75" customHeight="1" s="71"/>
    <row r="794" ht="15.75" customHeight="1" s="71"/>
    <row r="795" ht="15.75" customHeight="1" s="71"/>
    <row r="796" ht="15.75" customHeight="1" s="71"/>
    <row r="797" ht="15.75" customHeight="1" s="71"/>
    <row r="798" ht="15.75" customHeight="1" s="71"/>
    <row r="799" ht="15.75" customHeight="1" s="71"/>
    <row r="800" ht="15.75" customHeight="1" s="71"/>
    <row r="801" ht="15.75" customHeight="1" s="71"/>
    <row r="802" ht="15.75" customHeight="1" s="71"/>
    <row r="803" ht="15.75" customHeight="1" s="71"/>
    <row r="804" ht="15.75" customHeight="1" s="71"/>
    <row r="805" ht="15.75" customHeight="1" s="71"/>
    <row r="806" ht="15.75" customHeight="1" s="71"/>
    <row r="807" ht="15.75" customHeight="1" s="71"/>
    <row r="808" ht="15.75" customHeight="1" s="71"/>
    <row r="809" ht="15.75" customHeight="1" s="71"/>
    <row r="810" ht="15.75" customHeight="1" s="71"/>
    <row r="811" ht="15.75" customHeight="1" s="71"/>
    <row r="812" ht="15.75" customHeight="1" s="71"/>
    <row r="813" ht="15.75" customHeight="1" s="71"/>
    <row r="814" ht="15.75" customHeight="1" s="71"/>
    <row r="815" ht="15.75" customHeight="1" s="71"/>
    <row r="816" ht="15.75" customHeight="1" s="71"/>
    <row r="817" ht="15.75" customHeight="1" s="71"/>
    <row r="818" ht="15.75" customHeight="1" s="71"/>
    <row r="819" ht="15.75" customHeight="1" s="71"/>
    <row r="820" ht="15.75" customHeight="1" s="71"/>
    <row r="821" ht="15.75" customHeight="1" s="71"/>
    <row r="822" ht="15.75" customHeight="1" s="71"/>
    <row r="823" ht="15.75" customHeight="1" s="71"/>
    <row r="824" ht="15.75" customHeight="1" s="71"/>
    <row r="825" ht="15.75" customHeight="1" s="71"/>
    <row r="826" ht="15.75" customHeight="1" s="71"/>
    <row r="827" ht="15.75" customHeight="1" s="71"/>
    <row r="828" ht="15.75" customHeight="1" s="71"/>
    <row r="829" ht="15.75" customHeight="1" s="71"/>
    <row r="830" ht="15.75" customHeight="1" s="71"/>
    <row r="831" ht="15.75" customHeight="1" s="71"/>
    <row r="832" ht="15.75" customHeight="1" s="71"/>
    <row r="833" ht="15.75" customHeight="1" s="71"/>
    <row r="834" ht="15.75" customHeight="1" s="71"/>
    <row r="835" ht="15.75" customHeight="1" s="71"/>
    <row r="836" ht="15.75" customHeight="1" s="71"/>
    <row r="837" ht="15.75" customHeight="1" s="71"/>
    <row r="838" ht="15.75" customHeight="1" s="71"/>
    <row r="839" ht="15.75" customHeight="1" s="71"/>
    <row r="840" ht="15.75" customHeight="1" s="71"/>
    <row r="841" ht="15.75" customHeight="1" s="71"/>
    <row r="842" ht="15.75" customHeight="1" s="71"/>
    <row r="843" ht="15.75" customHeight="1" s="71"/>
    <row r="844" ht="15.75" customHeight="1" s="71"/>
    <row r="845" ht="15.75" customHeight="1" s="71"/>
    <row r="846" ht="15.75" customHeight="1" s="71"/>
    <row r="847" ht="15.75" customHeight="1" s="71"/>
    <row r="848" ht="15.75" customHeight="1" s="71"/>
    <row r="849" ht="15.75" customHeight="1" s="71"/>
    <row r="850" ht="15.75" customHeight="1" s="71"/>
    <row r="851" ht="15.75" customHeight="1" s="71"/>
    <row r="852" ht="15.75" customHeight="1" s="71"/>
    <row r="853" ht="15.75" customHeight="1" s="71"/>
    <row r="854" ht="15.75" customHeight="1" s="71"/>
    <row r="855" ht="15.75" customHeight="1" s="71"/>
    <row r="856" ht="15.75" customHeight="1" s="71"/>
    <row r="857" ht="15.75" customHeight="1" s="71"/>
    <row r="858" ht="15.75" customHeight="1" s="71"/>
    <row r="859" ht="15.75" customHeight="1" s="71"/>
    <row r="860" ht="15.75" customHeight="1" s="71"/>
    <row r="861" ht="15.75" customHeight="1" s="71"/>
    <row r="862" ht="15.75" customHeight="1" s="71"/>
    <row r="863" ht="15.75" customHeight="1" s="71"/>
    <row r="864" ht="15.75" customHeight="1" s="71"/>
    <row r="865" ht="15.75" customHeight="1" s="71"/>
    <row r="866" ht="15.75" customHeight="1" s="71"/>
    <row r="867" ht="15.75" customHeight="1" s="71"/>
    <row r="868" ht="15.75" customHeight="1" s="71"/>
    <row r="869" ht="15.75" customHeight="1" s="71"/>
    <row r="870" ht="15.75" customHeight="1" s="71"/>
    <row r="871" ht="15.75" customHeight="1" s="71"/>
    <row r="872" ht="15.75" customHeight="1" s="71"/>
    <row r="873" ht="15.75" customHeight="1" s="71"/>
    <row r="874" ht="15.75" customHeight="1" s="71"/>
    <row r="875" ht="15.75" customHeight="1" s="71"/>
    <row r="876" ht="15.75" customHeight="1" s="71"/>
    <row r="877" ht="15.75" customHeight="1" s="71"/>
    <row r="878" ht="15.75" customHeight="1" s="71"/>
    <row r="879" ht="15.75" customHeight="1" s="71"/>
    <row r="880" ht="15.75" customHeight="1" s="71"/>
    <row r="881" ht="15.75" customHeight="1" s="71"/>
    <row r="882" ht="15.75" customHeight="1" s="71"/>
    <row r="883" ht="15.75" customHeight="1" s="71"/>
    <row r="884" ht="15.75" customHeight="1" s="71"/>
    <row r="885" ht="15.75" customHeight="1" s="71"/>
    <row r="886" ht="15.75" customHeight="1" s="71"/>
    <row r="887" ht="15.75" customHeight="1" s="71"/>
    <row r="888" ht="15.75" customHeight="1" s="71"/>
    <row r="889" ht="15.75" customHeight="1" s="71"/>
    <row r="890" ht="15.75" customHeight="1" s="71"/>
    <row r="891" ht="15.75" customHeight="1" s="71"/>
    <row r="892" ht="15.75" customHeight="1" s="71"/>
    <row r="893" ht="15.75" customHeight="1" s="71"/>
    <row r="894" ht="15.75" customHeight="1" s="71"/>
    <row r="895" ht="15.75" customHeight="1" s="71"/>
    <row r="896" ht="15.75" customHeight="1" s="71"/>
    <row r="897" ht="15.75" customHeight="1" s="71"/>
    <row r="898" ht="15.75" customHeight="1" s="71"/>
    <row r="899" ht="15.75" customHeight="1" s="71"/>
    <row r="900" ht="15.75" customHeight="1" s="71"/>
    <row r="901" ht="15.75" customHeight="1" s="71"/>
    <row r="902" ht="15.75" customHeight="1" s="71"/>
    <row r="903" ht="15.75" customHeight="1" s="71"/>
    <row r="904" ht="15.75" customHeight="1" s="71"/>
    <row r="905" ht="15.75" customHeight="1" s="71"/>
    <row r="906" ht="15.75" customHeight="1" s="71"/>
    <row r="907" ht="15.75" customHeight="1" s="71"/>
    <row r="908" ht="15.75" customHeight="1" s="71"/>
    <row r="909" ht="15.75" customHeight="1" s="71"/>
    <row r="910" ht="15.75" customHeight="1" s="71"/>
    <row r="911" ht="15.75" customHeight="1" s="71"/>
    <row r="912" ht="15.75" customHeight="1" s="71"/>
    <row r="913" ht="15.75" customHeight="1" s="71"/>
    <row r="914" ht="15.75" customHeight="1" s="71"/>
    <row r="915" ht="15.75" customHeight="1" s="71"/>
    <row r="916" ht="15.75" customHeight="1" s="71"/>
    <row r="917" ht="15.75" customHeight="1" s="71"/>
    <row r="918" ht="15.75" customHeight="1" s="71"/>
    <row r="919" ht="15.75" customHeight="1" s="71"/>
    <row r="920" ht="15.75" customHeight="1" s="71"/>
    <row r="921" ht="15.75" customHeight="1" s="71"/>
    <row r="922" ht="15.75" customHeight="1" s="71"/>
    <row r="923" ht="15.75" customHeight="1" s="71"/>
    <row r="924" ht="15.75" customHeight="1" s="71"/>
    <row r="925" ht="15.75" customHeight="1" s="71"/>
    <row r="926" ht="15.75" customHeight="1" s="71"/>
    <row r="927" ht="15.75" customHeight="1" s="71"/>
    <row r="928" ht="15.75" customHeight="1" s="71"/>
    <row r="929" ht="15.75" customHeight="1" s="71"/>
    <row r="930" ht="15.75" customHeight="1" s="71"/>
    <row r="931" ht="15.75" customHeight="1" s="71"/>
    <row r="932" ht="15.75" customHeight="1" s="71"/>
    <row r="933" ht="15.75" customHeight="1" s="71"/>
    <row r="934" ht="15.75" customHeight="1" s="71"/>
    <row r="935" ht="15.75" customHeight="1" s="71"/>
    <row r="936" ht="15.75" customHeight="1" s="71"/>
    <row r="937" ht="15.75" customHeight="1" s="71"/>
    <row r="938" ht="15.75" customHeight="1" s="71"/>
    <row r="939" ht="15.75" customHeight="1" s="71"/>
    <row r="940" ht="15.75" customHeight="1" s="71"/>
    <row r="941" ht="15.75" customHeight="1" s="71"/>
    <row r="942" ht="15.75" customHeight="1" s="71"/>
    <row r="943" ht="15.75" customHeight="1" s="71"/>
    <row r="944" ht="15.75" customHeight="1" s="71"/>
    <row r="945" ht="15.75" customHeight="1" s="71"/>
    <row r="946" ht="15.75" customHeight="1" s="71"/>
    <row r="947" ht="15.75" customHeight="1" s="71"/>
    <row r="948" ht="15.75" customHeight="1" s="71"/>
    <row r="949" ht="15.75" customHeight="1" s="71"/>
    <row r="950" ht="15.75" customHeight="1" s="71"/>
    <row r="951" ht="15.75" customHeight="1" s="71"/>
    <row r="952" ht="15.75" customHeight="1" s="71"/>
    <row r="953" ht="15.75" customHeight="1" s="71"/>
    <row r="954" ht="15.75" customHeight="1" s="71"/>
    <row r="955" ht="15.75" customHeight="1" s="71"/>
    <row r="956" ht="15.75" customHeight="1" s="71"/>
    <row r="957" ht="15.75" customHeight="1" s="71"/>
    <row r="958" ht="15.75" customHeight="1" s="71"/>
    <row r="959" ht="15.75" customHeight="1" s="71"/>
    <row r="960" ht="15.75" customHeight="1" s="71"/>
    <row r="961" ht="15.75" customHeight="1" s="71"/>
    <row r="962" ht="15.75" customHeight="1" s="71"/>
    <row r="963" ht="15.75" customHeight="1" s="71"/>
    <row r="964" ht="15.75" customHeight="1" s="71"/>
    <row r="965" ht="15.75" customHeight="1" s="71"/>
    <row r="966" ht="15.75" customHeight="1" s="71"/>
    <row r="967" ht="15.75" customHeight="1" s="71"/>
    <row r="968" ht="15.75" customHeight="1" s="71"/>
    <row r="969" ht="15.75" customHeight="1" s="71"/>
    <row r="970" ht="15.75" customHeight="1" s="71"/>
    <row r="971" ht="15.75" customHeight="1" s="71"/>
    <row r="972" ht="15.75" customHeight="1" s="71"/>
    <row r="973" ht="15.75" customHeight="1" s="71"/>
    <row r="974" ht="15.75" customHeight="1" s="71"/>
    <row r="975" ht="15.75" customHeight="1" s="71"/>
    <row r="976" ht="15.75" customHeight="1" s="71"/>
    <row r="977" ht="15.75" customHeight="1" s="71"/>
    <row r="978" ht="15.75" customHeight="1" s="71"/>
    <row r="979" ht="15.75" customHeight="1" s="71"/>
    <row r="980" ht="15.75" customHeight="1" s="71"/>
    <row r="981" ht="15.75" customHeight="1" s="71"/>
    <row r="982" ht="15.75" customHeight="1" s="71"/>
    <row r="983" ht="15.75" customHeight="1" s="71"/>
    <row r="984" ht="15.75" customHeight="1" s="71"/>
    <row r="985" ht="15.75" customHeight="1" s="71"/>
    <row r="986" ht="15.75" customHeight="1" s="71"/>
    <row r="987" ht="15.75" customHeight="1" s="71"/>
    <row r="988" ht="15.75" customHeight="1" s="71"/>
    <row r="989" ht="15.75" customHeight="1" s="71"/>
    <row r="990" ht="15.75" customHeight="1" s="71"/>
    <row r="991" ht="15.75" customHeight="1" s="71"/>
    <row r="992" ht="15.75" customHeight="1" s="71"/>
    <row r="993" ht="15.75" customHeight="1" s="71"/>
    <row r="994" ht="15.75" customHeight="1" s="71"/>
    <row r="995" ht="15.75" customHeight="1" s="71"/>
    <row r="996" ht="15.75" customHeight="1" s="71"/>
    <row r="997" ht="15.75" customHeight="1" s="71"/>
    <row r="998" ht="15.75" customHeight="1" s="71"/>
    <row r="999" ht="15.75" customHeight="1" s="71"/>
    <row r="1000" ht="15.75" customHeight="1" s="71"/>
  </sheetData>
  <autoFilter ref="A1:D30"/>
  <conditionalFormatting sqref="A2:D30">
    <cfRule type="expression" priority="2" dxfId="0">
      <formula>AND($C2&lt;&gt;"",$C2&lt;3)</formula>
    </cfRule>
  </conditionalFormatting>
  <dataValidations count="1">
    <dataValidation sqref="C2:C30" showDropDown="0" showInputMessage="0" showErrorMessage="0" allowBlank="1" type="list">
      <formula1>"1,2,3,4,5"</formula1>
      <formula2>0</formula2>
    </dataValidation>
  </dataValidation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2026-09-09T12:28:59Z</dcterms:created>
  <dcterms:modified xmlns:dcterms="http://purl.org/dc/terms/" xmlns:xsi="http://www.w3.org/2001/XMLSchema-instance" xsi:type="dcterms:W3CDTF">2026-09-25T08:10:07Z</dcterms:modified>
  <cp:lastModifiedBy>Smartsense Micro</cp:lastModifiedBy>
  <cp:revision>0</cp:revision>
</cp:coreProperties>
</file>